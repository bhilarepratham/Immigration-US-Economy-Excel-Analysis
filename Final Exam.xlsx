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\Desktop\MOT\TEM 505\"/>
    </mc:Choice>
  </mc:AlternateContent>
  <xr:revisionPtr revIDLastSave="0" documentId="13_ncr:1_{30886351-CF09-4BC3-83B7-751F15AC4526}" xr6:coauthVersionLast="47" xr6:coauthVersionMax="47" xr10:uidLastSave="{00000000-0000-0000-0000-000000000000}"/>
  <bookViews>
    <workbookView xWindow="-108" yWindow="-108" windowWidth="23256" windowHeight="12456" xr2:uid="{637D8CE1-21AD-4C7A-965D-D6255B929E09}"/>
  </bookViews>
  <sheets>
    <sheet name="Final Summary " sheetId="15" r:id="rId1"/>
    <sheet name="Master Dataset" sheetId="7" r:id="rId2"/>
    <sheet name="Analysis" sheetId="8" r:id="rId3"/>
    <sheet name="Result 1" sheetId="14" r:id="rId4"/>
    <sheet name="Result 2" sheetId="12" r:id="rId5"/>
    <sheet name="Result 3" sheetId="13" r:id="rId6"/>
    <sheet name="Training Data" sheetId="10" r:id="rId7"/>
    <sheet name="Testing Data" sheetId="11" r:id="rId8"/>
    <sheet name="Visualization" sheetId="16" r:id="rId9"/>
    <sheet name="Raw_Imigration data" sheetId="1" r:id="rId10"/>
    <sheet name="Raw_Gross Domestic Product " sheetId="3" r:id="rId11"/>
    <sheet name="Raw_Personal Income and Its Dis" sheetId="4" r:id="rId12"/>
    <sheet name="Raw_Unemployment" sheetId="5" r:id="rId13"/>
  </sheets>
  <definedNames>
    <definedName name="_xlchart.v1.0" hidden="1">Visualization!$AK$1</definedName>
    <definedName name="_xlchart.v1.1" hidden="1">Visualization!$AK$2:$AK$43</definedName>
    <definedName name="_xlchart.v1.2" hidden="1">Visualization!$AL$1</definedName>
    <definedName name="_xlchart.v1.3" hidden="1">Visualization!$AL$2:$AL$43</definedName>
    <definedName name="solver_eng" localSheetId="3" hidden="1">1</definedName>
    <definedName name="solver_eng" localSheetId="4" hidden="1">1</definedName>
    <definedName name="solver_eng" localSheetId="6" hidden="1">1</definedName>
    <definedName name="solver_neg" localSheetId="3" hidden="1">1</definedName>
    <definedName name="solver_neg" localSheetId="4" hidden="1">1</definedName>
    <definedName name="solver_neg" localSheetId="6" hidden="1">1</definedName>
    <definedName name="solver_num" localSheetId="3" hidden="1">0</definedName>
    <definedName name="solver_num" localSheetId="4" hidden="1">0</definedName>
    <definedName name="solver_num" localSheetId="6" hidden="1">0</definedName>
    <definedName name="solver_opt" localSheetId="3" hidden="1">'Result 1'!$A$1</definedName>
    <definedName name="solver_opt" localSheetId="4" hidden="1">'Result 2'!$A$3</definedName>
    <definedName name="solver_opt" localSheetId="6" hidden="1">'Training Data'!$O$24</definedName>
    <definedName name="solver_typ" localSheetId="3" hidden="1">1</definedName>
    <definedName name="solver_typ" localSheetId="4" hidden="1">1</definedName>
    <definedName name="solver_typ" localSheetId="6" hidden="1">1</definedName>
    <definedName name="solver_val" localSheetId="3" hidden="1">0</definedName>
    <definedName name="solver_val" localSheetId="4" hidden="1">0</definedName>
    <definedName name="solver_val" localSheetId="6" hidden="1">0</definedName>
    <definedName name="solver_ver" localSheetId="3" hidden="1">3</definedName>
    <definedName name="solver_ver" localSheetId="4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8" l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J35" i="8"/>
  <c r="J36" i="8"/>
  <c r="J37" i="8"/>
  <c r="J38" i="8"/>
  <c r="J39" i="8"/>
  <c r="J40" i="8"/>
  <c r="J41" i="8"/>
  <c r="J42" i="8"/>
  <c r="J43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N1" i="8"/>
  <c r="M1" i="8"/>
  <c r="L1" i="8"/>
  <c r="K1" i="8"/>
  <c r="J1" i="8"/>
  <c r="AL1" i="16"/>
  <c r="D31" i="15"/>
  <c r="C31" i="15"/>
  <c r="D30" i="15"/>
  <c r="C30" i="15"/>
  <c r="D33" i="15"/>
  <c r="C33" i="15"/>
  <c r="D32" i="15"/>
  <c r="C32" i="15"/>
  <c r="D35" i="15"/>
  <c r="C35" i="15"/>
  <c r="D36" i="15"/>
  <c r="C36" i="15"/>
  <c r="D34" i="15"/>
  <c r="C34" i="15"/>
  <c r="D18" i="15"/>
  <c r="D19" i="15"/>
  <c r="D20" i="15"/>
  <c r="D24" i="15"/>
  <c r="D21" i="15"/>
  <c r="D23" i="15"/>
  <c r="D22" i="15"/>
  <c r="C18" i="15"/>
  <c r="C19" i="15"/>
  <c r="C20" i="15"/>
  <c r="C24" i="15"/>
  <c r="C21" i="15"/>
  <c r="C23" i="15"/>
  <c r="C22" i="15"/>
  <c r="D13" i="15"/>
  <c r="D12" i="15"/>
  <c r="D11" i="15"/>
  <c r="C13" i="15"/>
  <c r="C12" i="15"/>
  <c r="C11" i="15"/>
  <c r="B13" i="15"/>
  <c r="B12" i="15"/>
  <c r="B11" i="15"/>
  <c r="D7" i="15"/>
  <c r="D6" i="15"/>
  <c r="D5" i="15"/>
  <c r="D4" i="15"/>
  <c r="D3" i="15"/>
  <c r="C7" i="15"/>
  <c r="C6" i="15"/>
  <c r="C5" i="15"/>
  <c r="C4" i="15"/>
  <c r="C3" i="15"/>
  <c r="B7" i="15"/>
  <c r="B6" i="15"/>
  <c r="B5" i="15"/>
  <c r="B4" i="15"/>
  <c r="B3" i="15"/>
  <c r="AN2" i="16"/>
  <c r="AN3" i="16"/>
  <c r="AN4" i="16"/>
  <c r="AN5" i="16"/>
  <c r="AN6" i="16"/>
  <c r="AN7" i="16"/>
  <c r="AN8" i="16"/>
  <c r="AN9" i="16"/>
  <c r="AN10" i="16"/>
  <c r="AN11" i="16"/>
  <c r="AN12" i="16"/>
  <c r="AN13" i="16"/>
  <c r="AN14" i="16"/>
  <c r="AN15" i="16"/>
  <c r="AN16" i="16"/>
  <c r="AN17" i="16"/>
  <c r="AN18" i="16"/>
  <c r="AN19" i="16"/>
  <c r="AN20" i="16"/>
  <c r="AN21" i="16"/>
  <c r="AN22" i="16"/>
  <c r="AN23" i="16"/>
  <c r="AN24" i="16"/>
  <c r="AN25" i="16"/>
  <c r="AN26" i="16"/>
  <c r="AN27" i="16"/>
  <c r="AN28" i="16"/>
  <c r="AN29" i="16"/>
  <c r="AN30" i="16"/>
  <c r="AN31" i="16"/>
  <c r="AN32" i="16"/>
  <c r="AN33" i="16"/>
  <c r="AN34" i="16"/>
  <c r="AN35" i="16"/>
  <c r="AN36" i="16"/>
  <c r="AN37" i="16"/>
  <c r="AN38" i="16"/>
  <c r="AN39" i="16"/>
  <c r="AN40" i="16"/>
  <c r="AN41" i="16"/>
  <c r="AN42" i="16"/>
  <c r="AN43" i="16"/>
  <c r="AN1" i="16"/>
  <c r="AM3" i="16"/>
  <c r="AM4" i="16"/>
  <c r="AM5" i="16"/>
  <c r="AM6" i="16"/>
  <c r="AM7" i="16"/>
  <c r="AM8" i="16"/>
  <c r="AM9" i="16"/>
  <c r="AM10" i="16"/>
  <c r="AM11" i="16"/>
  <c r="AM12" i="16"/>
  <c r="AM13" i="16"/>
  <c r="AM14" i="16"/>
  <c r="AM15" i="16"/>
  <c r="AM16" i="16"/>
  <c r="AM17" i="16"/>
  <c r="AM18" i="16"/>
  <c r="AM19" i="16"/>
  <c r="AM20" i="16"/>
  <c r="AM21" i="16"/>
  <c r="AM22" i="16"/>
  <c r="AM23" i="16"/>
  <c r="AM24" i="16"/>
  <c r="AM25" i="16"/>
  <c r="AM26" i="16"/>
  <c r="AM27" i="16"/>
  <c r="AM28" i="16"/>
  <c r="AM29" i="16"/>
  <c r="AM30" i="16"/>
  <c r="AM31" i="16"/>
  <c r="AM32" i="16"/>
  <c r="AM33" i="16"/>
  <c r="AM34" i="16"/>
  <c r="AM35" i="16"/>
  <c r="AM36" i="16"/>
  <c r="AM37" i="16"/>
  <c r="AM38" i="16"/>
  <c r="AM39" i="16"/>
  <c r="AM40" i="16"/>
  <c r="AM41" i="16"/>
  <c r="AM42" i="16"/>
  <c r="AM43" i="16"/>
  <c r="AM2" i="16"/>
  <c r="AL3" i="16"/>
  <c r="AL4" i="16"/>
  <c r="AL5" i="16"/>
  <c r="AL6" i="16"/>
  <c r="AL7" i="16"/>
  <c r="AL8" i="16"/>
  <c r="AL9" i="16"/>
  <c r="AL10" i="16"/>
  <c r="AL11" i="16"/>
  <c r="AL12" i="16"/>
  <c r="AL13" i="16"/>
  <c r="AL14" i="16"/>
  <c r="AL15" i="16"/>
  <c r="AL16" i="16"/>
  <c r="AL17" i="16"/>
  <c r="AL18" i="16"/>
  <c r="AL19" i="16"/>
  <c r="AL20" i="16"/>
  <c r="AL21" i="16"/>
  <c r="AL22" i="16"/>
  <c r="AL23" i="16"/>
  <c r="AL24" i="16"/>
  <c r="AL25" i="16"/>
  <c r="AL26" i="16"/>
  <c r="AL27" i="16"/>
  <c r="AL28" i="16"/>
  <c r="AL29" i="16"/>
  <c r="AL30" i="16"/>
  <c r="AL31" i="16"/>
  <c r="AL32" i="16"/>
  <c r="AL33" i="16"/>
  <c r="AL34" i="16"/>
  <c r="AL35" i="16"/>
  <c r="AL36" i="16"/>
  <c r="AL37" i="16"/>
  <c r="AL38" i="16"/>
  <c r="AL39" i="16"/>
  <c r="AL40" i="16"/>
  <c r="AL41" i="16"/>
  <c r="AL42" i="16"/>
  <c r="AL43" i="16"/>
  <c r="AK3" i="16"/>
  <c r="AK4" i="16"/>
  <c r="AK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AK40" i="16"/>
  <c r="AK41" i="16"/>
  <c r="AK42" i="16"/>
  <c r="AK43" i="16"/>
  <c r="AK2" i="16"/>
  <c r="U6" i="16"/>
  <c r="S6" i="16"/>
  <c r="U5" i="16"/>
  <c r="T5" i="16"/>
  <c r="U4" i="16"/>
  <c r="T4" i="16"/>
  <c r="S4" i="16"/>
  <c r="B4" i="16"/>
  <c r="B3" i="16"/>
  <c r="B2" i="16"/>
  <c r="B13" i="11"/>
  <c r="B20" i="11"/>
  <c r="B26" i="11"/>
  <c r="B12" i="11"/>
  <c r="B19" i="11"/>
  <c r="B25" i="11"/>
  <c r="B24" i="11"/>
  <c r="B23" i="11"/>
  <c r="R3" i="11"/>
  <c r="R4" i="11"/>
  <c r="R5" i="11"/>
  <c r="R6" i="11"/>
  <c r="R7" i="11"/>
  <c r="R2" i="11"/>
  <c r="R13" i="11"/>
  <c r="R14" i="11"/>
  <c r="R15" i="11"/>
  <c r="R16" i="11"/>
  <c r="R17" i="11"/>
  <c r="R12" i="11"/>
  <c r="R23" i="11"/>
  <c r="R24" i="11"/>
  <c r="R25" i="11"/>
  <c r="R26" i="11"/>
  <c r="R27" i="11"/>
  <c r="R22" i="11"/>
  <c r="Q23" i="11"/>
  <c r="Q24" i="11"/>
  <c r="Q25" i="11"/>
  <c r="Q26" i="11"/>
  <c r="Q27" i="11"/>
  <c r="Q22" i="11"/>
  <c r="P23" i="11"/>
  <c r="P24" i="11"/>
  <c r="P25" i="11"/>
  <c r="P26" i="11"/>
  <c r="P27" i="11"/>
  <c r="P22" i="11"/>
  <c r="O23" i="11"/>
  <c r="O24" i="11"/>
  <c r="O25" i="11"/>
  <c r="O26" i="11"/>
  <c r="O27" i="11"/>
  <c r="O22" i="11"/>
  <c r="N23" i="11"/>
  <c r="N24" i="11"/>
  <c r="N25" i="11"/>
  <c r="N26" i="11"/>
  <c r="N27" i="11"/>
  <c r="N22" i="11"/>
  <c r="M23" i="11"/>
  <c r="M24" i="11"/>
  <c r="M25" i="11"/>
  <c r="M26" i="11"/>
  <c r="M27" i="11"/>
  <c r="M22" i="11"/>
  <c r="B18" i="11"/>
  <c r="B17" i="11"/>
  <c r="Q13" i="11"/>
  <c r="Q14" i="11"/>
  <c r="Q15" i="11"/>
  <c r="Q16" i="11"/>
  <c r="Q17" i="11"/>
  <c r="Q12" i="11"/>
  <c r="P13" i="11"/>
  <c r="P14" i="11"/>
  <c r="P15" i="11"/>
  <c r="P16" i="11"/>
  <c r="P17" i="11"/>
  <c r="P12" i="11"/>
  <c r="O13" i="11"/>
  <c r="O14" i="11"/>
  <c r="O15" i="11"/>
  <c r="O16" i="11"/>
  <c r="O17" i="11"/>
  <c r="O12" i="11"/>
  <c r="M13" i="11"/>
  <c r="M14" i="11"/>
  <c r="M15" i="11"/>
  <c r="M16" i="11"/>
  <c r="M17" i="11"/>
  <c r="M12" i="11"/>
  <c r="M3" i="11"/>
  <c r="M4" i="11"/>
  <c r="M5" i="11"/>
  <c r="M6" i="11"/>
  <c r="M7" i="11"/>
  <c r="M2" i="11"/>
  <c r="N13" i="11"/>
  <c r="N14" i="11"/>
  <c r="N15" i="11"/>
  <c r="N16" i="11"/>
  <c r="N17" i="11"/>
  <c r="N12" i="11"/>
  <c r="AF2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E2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D2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F1" i="10"/>
  <c r="AE1" i="10"/>
  <c r="AD1" i="10"/>
  <c r="AA2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Z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Y2" i="10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AA1" i="10"/>
  <c r="Z1" i="10"/>
  <c r="Y1" i="10"/>
  <c r="W2" i="7" l="1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V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W1" i="7"/>
  <c r="V1" i="7"/>
  <c r="U1" i="7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1" i="7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1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1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1" i="7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1" i="7"/>
  <c r="B11" i="11"/>
  <c r="N3" i="11"/>
  <c r="N4" i="11"/>
  <c r="P4" i="11" s="1"/>
  <c r="Q4" i="11" s="1"/>
  <c r="N5" i="11"/>
  <c r="N6" i="11"/>
  <c r="N7" i="11"/>
  <c r="N2" i="11"/>
  <c r="Q3" i="11"/>
  <c r="Q5" i="11"/>
  <c r="Q2" i="11"/>
  <c r="P3" i="11"/>
  <c r="P5" i="11"/>
  <c r="P6" i="11"/>
  <c r="Q6" i="11" s="1"/>
  <c r="P7" i="11"/>
  <c r="Q7" i="11" s="1"/>
  <c r="P2" i="11"/>
  <c r="O3" i="11"/>
  <c r="O4" i="11"/>
  <c r="O5" i="11"/>
  <c r="O6" i="11"/>
  <c r="O7" i="11"/>
  <c r="O2" i="11"/>
  <c r="I3" i="11"/>
  <c r="I4" i="11"/>
  <c r="I5" i="11"/>
  <c r="I6" i="11"/>
  <c r="I7" i="11"/>
  <c r="I2" i="11"/>
  <c r="H3" i="11"/>
  <c r="H4" i="11"/>
  <c r="H5" i="11"/>
  <c r="H6" i="11"/>
  <c r="H7" i="11"/>
  <c r="H2" i="11"/>
  <c r="G3" i="11"/>
  <c r="G4" i="11"/>
  <c r="G5" i="11"/>
  <c r="G6" i="11"/>
  <c r="G7" i="11"/>
  <c r="G2" i="11"/>
  <c r="F3" i="11"/>
  <c r="F4" i="11"/>
  <c r="F5" i="11"/>
  <c r="F6" i="11"/>
  <c r="F7" i="11"/>
  <c r="F2" i="11"/>
  <c r="E3" i="11"/>
  <c r="E4" i="11"/>
  <c r="E5" i="11"/>
  <c r="E6" i="11"/>
  <c r="E7" i="11"/>
  <c r="E2" i="11"/>
  <c r="D3" i="11"/>
  <c r="D4" i="11"/>
  <c r="D5" i="11"/>
  <c r="D6" i="11"/>
  <c r="D7" i="11"/>
  <c r="D2" i="11"/>
  <c r="C3" i="11"/>
  <c r="C4" i="11"/>
  <c r="C5" i="11"/>
  <c r="C6" i="11"/>
  <c r="C7" i="11"/>
  <c r="C2" i="11"/>
  <c r="B3" i="11"/>
  <c r="B4" i="11"/>
  <c r="B5" i="11"/>
  <c r="B6" i="11"/>
  <c r="B7" i="11"/>
  <c r="B2" i="11"/>
  <c r="M38" i="10"/>
  <c r="L38" i="10"/>
  <c r="K38" i="10"/>
  <c r="M37" i="10"/>
  <c r="L37" i="10"/>
  <c r="K37" i="10"/>
  <c r="M36" i="10"/>
  <c r="L36" i="10"/>
  <c r="K36" i="10"/>
  <c r="M35" i="10"/>
  <c r="L35" i="10"/>
  <c r="K35" i="10"/>
  <c r="M34" i="10"/>
  <c r="L34" i="10"/>
  <c r="K34" i="10"/>
  <c r="M33" i="10"/>
  <c r="L33" i="10"/>
  <c r="K33" i="10"/>
  <c r="M32" i="10"/>
  <c r="L32" i="10"/>
  <c r="K32" i="10"/>
  <c r="M31" i="10"/>
  <c r="L31" i="10"/>
  <c r="K31" i="10"/>
  <c r="M30" i="10"/>
  <c r="L30" i="10"/>
  <c r="K30" i="10"/>
  <c r="M29" i="10"/>
  <c r="L29" i="10"/>
  <c r="K29" i="10"/>
  <c r="M28" i="10"/>
  <c r="L28" i="10"/>
  <c r="K28" i="10"/>
  <c r="M27" i="10"/>
  <c r="L27" i="10"/>
  <c r="K27" i="10"/>
  <c r="M26" i="10"/>
  <c r="L26" i="10"/>
  <c r="K26" i="10"/>
  <c r="M25" i="10"/>
  <c r="L25" i="10"/>
  <c r="K25" i="10"/>
  <c r="M24" i="10"/>
  <c r="L24" i="10"/>
  <c r="K24" i="10"/>
  <c r="M23" i="10"/>
  <c r="L23" i="10"/>
  <c r="K23" i="10"/>
  <c r="M22" i="10"/>
  <c r="L22" i="10"/>
  <c r="K22" i="10"/>
  <c r="M21" i="10"/>
  <c r="L21" i="10"/>
  <c r="K21" i="10"/>
  <c r="M20" i="10"/>
  <c r="L20" i="10"/>
  <c r="K20" i="10"/>
  <c r="M19" i="10"/>
  <c r="L19" i="10"/>
  <c r="K19" i="10"/>
  <c r="M18" i="10"/>
  <c r="L18" i="10"/>
  <c r="K18" i="10"/>
  <c r="M17" i="10"/>
  <c r="L17" i="10"/>
  <c r="K17" i="10"/>
  <c r="M16" i="10"/>
  <c r="L16" i="10"/>
  <c r="K16" i="10"/>
  <c r="M15" i="10"/>
  <c r="L15" i="10"/>
  <c r="K15" i="10"/>
  <c r="M14" i="10"/>
  <c r="L14" i="10"/>
  <c r="K14" i="10"/>
  <c r="M13" i="10"/>
  <c r="L13" i="10"/>
  <c r="K13" i="10"/>
  <c r="M12" i="10"/>
  <c r="L12" i="10"/>
  <c r="K12" i="10"/>
  <c r="M11" i="10"/>
  <c r="L11" i="10"/>
  <c r="K11" i="10"/>
  <c r="M10" i="10"/>
  <c r="L10" i="10"/>
  <c r="K10" i="10"/>
  <c r="M9" i="10"/>
  <c r="L9" i="10"/>
  <c r="K9" i="10"/>
  <c r="M8" i="10"/>
  <c r="L8" i="10"/>
  <c r="K8" i="10"/>
  <c r="M7" i="10"/>
  <c r="L7" i="10"/>
  <c r="K7" i="10"/>
  <c r="M6" i="10"/>
  <c r="L6" i="10"/>
  <c r="K6" i="10"/>
  <c r="M5" i="10"/>
  <c r="L5" i="10"/>
  <c r="K5" i="10"/>
  <c r="M4" i="10"/>
  <c r="L4" i="10"/>
  <c r="K4" i="10"/>
  <c r="M3" i="10"/>
  <c r="L3" i="10"/>
  <c r="K3" i="10"/>
  <c r="M2" i="10"/>
  <c r="L2" i="10"/>
  <c r="K2" i="10"/>
  <c r="M1" i="10"/>
  <c r="L1" i="10"/>
  <c r="B10" i="11" l="1"/>
  <c r="G37" i="10" l="1"/>
  <c r="F37" i="10"/>
  <c r="D37" i="10"/>
  <c r="C37" i="10"/>
  <c r="B37" i="10"/>
  <c r="H38" i="10" s="1"/>
  <c r="G36" i="10"/>
  <c r="F36" i="10"/>
  <c r="D36" i="10"/>
  <c r="E37" i="10" s="1"/>
  <c r="I38" i="10" s="1"/>
  <c r="C36" i="10"/>
  <c r="B36" i="10"/>
  <c r="H37" i="10" s="1"/>
  <c r="G35" i="10"/>
  <c r="F35" i="10"/>
  <c r="D35" i="10"/>
  <c r="C35" i="10"/>
  <c r="B35" i="10"/>
  <c r="H36" i="10" s="1"/>
  <c r="G34" i="10"/>
  <c r="F34" i="10"/>
  <c r="D34" i="10"/>
  <c r="E35" i="10" s="1"/>
  <c r="I36" i="10" s="1"/>
  <c r="C34" i="10"/>
  <c r="B34" i="10"/>
  <c r="H35" i="10" s="1"/>
  <c r="G33" i="10"/>
  <c r="F33" i="10"/>
  <c r="D33" i="10"/>
  <c r="C33" i="10"/>
  <c r="B33" i="10"/>
  <c r="H34" i="10" s="1"/>
  <c r="G32" i="10"/>
  <c r="F32" i="10"/>
  <c r="D32" i="10"/>
  <c r="E33" i="10" s="1"/>
  <c r="I34" i="10" s="1"/>
  <c r="C32" i="10"/>
  <c r="B32" i="10"/>
  <c r="H33" i="10" s="1"/>
  <c r="G31" i="10"/>
  <c r="F31" i="10"/>
  <c r="D31" i="10"/>
  <c r="C31" i="10"/>
  <c r="B31" i="10"/>
  <c r="H32" i="10" s="1"/>
  <c r="G30" i="10"/>
  <c r="F30" i="10"/>
  <c r="D30" i="10"/>
  <c r="E31" i="10" s="1"/>
  <c r="I32" i="10" s="1"/>
  <c r="C30" i="10"/>
  <c r="B30" i="10"/>
  <c r="H31" i="10" s="1"/>
  <c r="G29" i="10"/>
  <c r="F29" i="10"/>
  <c r="D29" i="10"/>
  <c r="C29" i="10"/>
  <c r="B29" i="10"/>
  <c r="H30" i="10" s="1"/>
  <c r="G28" i="10"/>
  <c r="F28" i="10"/>
  <c r="D28" i="10"/>
  <c r="E29" i="10" s="1"/>
  <c r="I30" i="10" s="1"/>
  <c r="C28" i="10"/>
  <c r="B28" i="10"/>
  <c r="H29" i="10" s="1"/>
  <c r="G27" i="10"/>
  <c r="F27" i="10"/>
  <c r="D27" i="10"/>
  <c r="C27" i="10"/>
  <c r="B27" i="10"/>
  <c r="H28" i="10" s="1"/>
  <c r="G26" i="10"/>
  <c r="F26" i="10"/>
  <c r="D26" i="10"/>
  <c r="E27" i="10" s="1"/>
  <c r="I28" i="10" s="1"/>
  <c r="C26" i="10"/>
  <c r="B26" i="10"/>
  <c r="H27" i="10" s="1"/>
  <c r="G25" i="10"/>
  <c r="F25" i="10"/>
  <c r="D25" i="10"/>
  <c r="C25" i="10"/>
  <c r="B25" i="10"/>
  <c r="H26" i="10" s="1"/>
  <c r="G24" i="10"/>
  <c r="F24" i="10"/>
  <c r="D24" i="10"/>
  <c r="E25" i="10" s="1"/>
  <c r="I26" i="10" s="1"/>
  <c r="C24" i="10"/>
  <c r="B24" i="10"/>
  <c r="H25" i="10" s="1"/>
  <c r="G23" i="10"/>
  <c r="F23" i="10"/>
  <c r="D23" i="10"/>
  <c r="C23" i="10"/>
  <c r="B23" i="10"/>
  <c r="H24" i="10" s="1"/>
  <c r="G22" i="10"/>
  <c r="F22" i="10"/>
  <c r="D22" i="10"/>
  <c r="E23" i="10" s="1"/>
  <c r="I24" i="10" s="1"/>
  <c r="C22" i="10"/>
  <c r="B22" i="10"/>
  <c r="H23" i="10" s="1"/>
  <c r="G21" i="10"/>
  <c r="F21" i="10"/>
  <c r="D21" i="10"/>
  <c r="C21" i="10"/>
  <c r="B21" i="10"/>
  <c r="H22" i="10" s="1"/>
  <c r="G20" i="10"/>
  <c r="F20" i="10"/>
  <c r="D20" i="10"/>
  <c r="E21" i="10" s="1"/>
  <c r="I22" i="10" s="1"/>
  <c r="C20" i="10"/>
  <c r="B20" i="10"/>
  <c r="H21" i="10" s="1"/>
  <c r="G19" i="10"/>
  <c r="F19" i="10"/>
  <c r="D19" i="10"/>
  <c r="C19" i="10"/>
  <c r="B19" i="10"/>
  <c r="H20" i="10" s="1"/>
  <c r="G18" i="10"/>
  <c r="F18" i="10"/>
  <c r="D18" i="10"/>
  <c r="E19" i="10" s="1"/>
  <c r="I20" i="10" s="1"/>
  <c r="C18" i="10"/>
  <c r="B18" i="10"/>
  <c r="H19" i="10" s="1"/>
  <c r="G17" i="10"/>
  <c r="F17" i="10"/>
  <c r="D17" i="10"/>
  <c r="C17" i="10"/>
  <c r="B17" i="10"/>
  <c r="H18" i="10" s="1"/>
  <c r="G16" i="10"/>
  <c r="F16" i="10"/>
  <c r="D16" i="10"/>
  <c r="E17" i="10" s="1"/>
  <c r="I18" i="10" s="1"/>
  <c r="C16" i="10"/>
  <c r="B16" i="10"/>
  <c r="H17" i="10" s="1"/>
  <c r="G15" i="10"/>
  <c r="F15" i="10"/>
  <c r="D15" i="10"/>
  <c r="C15" i="10"/>
  <c r="B15" i="10"/>
  <c r="H16" i="10" s="1"/>
  <c r="G14" i="10"/>
  <c r="F14" i="10"/>
  <c r="D14" i="10"/>
  <c r="E15" i="10" s="1"/>
  <c r="I16" i="10" s="1"/>
  <c r="C14" i="10"/>
  <c r="B14" i="10"/>
  <c r="H15" i="10" s="1"/>
  <c r="G13" i="10"/>
  <c r="F13" i="10"/>
  <c r="D13" i="10"/>
  <c r="C13" i="10"/>
  <c r="B13" i="10"/>
  <c r="H14" i="10" s="1"/>
  <c r="G12" i="10"/>
  <c r="F12" i="10"/>
  <c r="D12" i="10"/>
  <c r="E13" i="10" s="1"/>
  <c r="I14" i="10" s="1"/>
  <c r="C12" i="10"/>
  <c r="B12" i="10"/>
  <c r="H13" i="10" s="1"/>
  <c r="G11" i="10"/>
  <c r="F11" i="10"/>
  <c r="D11" i="10"/>
  <c r="C11" i="10"/>
  <c r="B11" i="10"/>
  <c r="H12" i="10" s="1"/>
  <c r="G10" i="10"/>
  <c r="F10" i="10"/>
  <c r="D10" i="10"/>
  <c r="E11" i="10" s="1"/>
  <c r="I12" i="10" s="1"/>
  <c r="C10" i="10"/>
  <c r="B10" i="10"/>
  <c r="H11" i="10" s="1"/>
  <c r="G9" i="10"/>
  <c r="F9" i="10"/>
  <c r="D9" i="10"/>
  <c r="C9" i="10"/>
  <c r="B9" i="10"/>
  <c r="H10" i="10" s="1"/>
  <c r="G8" i="10"/>
  <c r="F8" i="10"/>
  <c r="D8" i="10"/>
  <c r="E9" i="10" s="1"/>
  <c r="I10" i="10" s="1"/>
  <c r="C8" i="10"/>
  <c r="B8" i="10"/>
  <c r="H9" i="10" s="1"/>
  <c r="G7" i="10"/>
  <c r="F7" i="10"/>
  <c r="D7" i="10"/>
  <c r="C7" i="10"/>
  <c r="B7" i="10"/>
  <c r="H8" i="10" s="1"/>
  <c r="G6" i="10"/>
  <c r="F6" i="10"/>
  <c r="D6" i="10"/>
  <c r="E7" i="10" s="1"/>
  <c r="I8" i="10" s="1"/>
  <c r="C6" i="10"/>
  <c r="B6" i="10"/>
  <c r="H7" i="10" s="1"/>
  <c r="G5" i="10"/>
  <c r="F5" i="10"/>
  <c r="D5" i="10"/>
  <c r="C5" i="10"/>
  <c r="B5" i="10"/>
  <c r="H6" i="10" s="1"/>
  <c r="G4" i="10"/>
  <c r="F4" i="10"/>
  <c r="D4" i="10"/>
  <c r="E5" i="10" s="1"/>
  <c r="I6" i="10" s="1"/>
  <c r="C4" i="10"/>
  <c r="B4" i="10"/>
  <c r="H5" i="10" s="1"/>
  <c r="G3" i="10"/>
  <c r="F3" i="10"/>
  <c r="D3" i="10"/>
  <c r="C3" i="10"/>
  <c r="B3" i="10"/>
  <c r="H4" i="10" s="1"/>
  <c r="G2" i="10"/>
  <c r="F2" i="10"/>
  <c r="D2" i="10"/>
  <c r="E3" i="10" s="1"/>
  <c r="I4" i="10" s="1"/>
  <c r="C2" i="10"/>
  <c r="B2" i="10"/>
  <c r="H3" i="10" s="1"/>
  <c r="G38" i="10"/>
  <c r="F38" i="10"/>
  <c r="D38" i="10"/>
  <c r="E38" i="10" s="1"/>
  <c r="C38" i="10"/>
  <c r="B38" i="10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M1" i="7"/>
  <c r="L1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2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I3" i="7"/>
  <c r="H3" i="7"/>
  <c r="E36" i="10" l="1"/>
  <c r="I37" i="10" s="1"/>
  <c r="E8" i="10"/>
  <c r="I9" i="10" s="1"/>
  <c r="E10" i="10"/>
  <c r="I11" i="10" s="1"/>
  <c r="E20" i="10"/>
  <c r="I21" i="10" s="1"/>
  <c r="E30" i="10"/>
  <c r="I31" i="10" s="1"/>
  <c r="E4" i="10"/>
  <c r="I5" i="10" s="1"/>
  <c r="E14" i="10"/>
  <c r="I15" i="10" s="1"/>
  <c r="E32" i="10"/>
  <c r="I33" i="10" s="1"/>
  <c r="E6" i="10"/>
  <c r="I7" i="10" s="1"/>
  <c r="E12" i="10"/>
  <c r="I13" i="10" s="1"/>
  <c r="E16" i="10"/>
  <c r="I17" i="10" s="1"/>
  <c r="E18" i="10"/>
  <c r="I19" i="10" s="1"/>
  <c r="E22" i="10"/>
  <c r="I23" i="10" s="1"/>
  <c r="E24" i="10"/>
  <c r="I25" i="10" s="1"/>
  <c r="E26" i="10"/>
  <c r="I27" i="10" s="1"/>
  <c r="E28" i="10"/>
  <c r="I29" i="10" s="1"/>
  <c r="E34" i="10"/>
  <c r="I35" i="10" s="1"/>
  <c r="G5" i="8"/>
  <c r="F5" i="8"/>
  <c r="E5" i="8"/>
  <c r="D5" i="8"/>
  <c r="C5" i="8"/>
  <c r="B5" i="8"/>
  <c r="G4" i="8"/>
  <c r="F4" i="8"/>
  <c r="E4" i="8"/>
  <c r="D4" i="8"/>
  <c r="C4" i="8"/>
  <c r="B4" i="8"/>
  <c r="G3" i="8"/>
  <c r="F3" i="8"/>
  <c r="E3" i="8"/>
  <c r="D3" i="8"/>
  <c r="C3" i="8"/>
  <c r="B3" i="8"/>
  <c r="G2" i="8"/>
  <c r="F2" i="8"/>
  <c r="E2" i="8"/>
  <c r="D2" i="8"/>
  <c r="C2" i="8"/>
  <c r="B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2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E5" i="7"/>
  <c r="E6" i="7"/>
  <c r="E7" i="7"/>
  <c r="E8" i="7"/>
  <c r="E21" i="7"/>
  <c r="E22" i="7"/>
  <c r="E23" i="7"/>
  <c r="E24" i="7"/>
  <c r="E37" i="7"/>
  <c r="E38" i="7"/>
  <c r="E39" i="7"/>
  <c r="E40" i="7"/>
  <c r="E42" i="7"/>
  <c r="D43" i="7"/>
  <c r="E43" i="7" s="1"/>
  <c r="D42" i="7"/>
  <c r="D41" i="7"/>
  <c r="E41" i="7" s="1"/>
  <c r="D40" i="7"/>
  <c r="D39" i="7"/>
  <c r="D38" i="7"/>
  <c r="D37" i="7"/>
  <c r="D36" i="7"/>
  <c r="E36" i="7" s="1"/>
  <c r="D35" i="7"/>
  <c r="E35" i="7" s="1"/>
  <c r="D34" i="7"/>
  <c r="E34" i="7" s="1"/>
  <c r="D33" i="7"/>
  <c r="E33" i="7" s="1"/>
  <c r="D32" i="7"/>
  <c r="E32" i="7" s="1"/>
  <c r="D31" i="7"/>
  <c r="E31" i="7" s="1"/>
  <c r="D30" i="7"/>
  <c r="E30" i="7" s="1"/>
  <c r="D29" i="7"/>
  <c r="E29" i="7" s="1"/>
  <c r="D28" i="7"/>
  <c r="E28" i="7" s="1"/>
  <c r="D27" i="7"/>
  <c r="E27" i="7" s="1"/>
  <c r="D26" i="7"/>
  <c r="E26" i="7" s="1"/>
  <c r="D25" i="7"/>
  <c r="E25" i="7" s="1"/>
  <c r="D24" i="7"/>
  <c r="D23" i="7"/>
  <c r="D22" i="7"/>
  <c r="D21" i="7"/>
  <c r="D20" i="7"/>
  <c r="E20" i="7" s="1"/>
  <c r="D19" i="7"/>
  <c r="E19" i="7" s="1"/>
  <c r="D18" i="7"/>
  <c r="E18" i="7" s="1"/>
  <c r="D17" i="7"/>
  <c r="E17" i="7" s="1"/>
  <c r="D16" i="7"/>
  <c r="E16" i="7" s="1"/>
  <c r="D15" i="7"/>
  <c r="E15" i="7" s="1"/>
  <c r="D14" i="7"/>
  <c r="E14" i="7" s="1"/>
  <c r="D13" i="7"/>
  <c r="E13" i="7" s="1"/>
  <c r="D12" i="7"/>
  <c r="E12" i="7" s="1"/>
  <c r="D11" i="7"/>
  <c r="E11" i="7" s="1"/>
  <c r="D10" i="7"/>
  <c r="E10" i="7" s="1"/>
  <c r="D9" i="7"/>
  <c r="E9" i="7" s="1"/>
  <c r="D8" i="7"/>
  <c r="D7" i="7"/>
  <c r="D6" i="7"/>
  <c r="D5" i="7"/>
  <c r="D4" i="7"/>
  <c r="E4" i="7" s="1"/>
  <c r="D3" i="7"/>
  <c r="E3" i="7" s="1"/>
  <c r="D2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2" i="1"/>
</calcChain>
</file>

<file path=xl/sharedStrings.xml><?xml version="1.0" encoding="utf-8"?>
<sst xmlns="http://schemas.openxmlformats.org/spreadsheetml/2006/main" count="838" uniqueCount="281">
  <si>
    <t>Year</t>
  </si>
  <si>
    <t>Immigrants Obtaining Lawful Permanent Resident Status</t>
  </si>
  <si>
    <t>Refugee Arrivals</t>
  </si>
  <si>
    <t>Noncitizen Apprehensions</t>
  </si>
  <si>
    <t>Noncitizen Removals</t>
  </si>
  <si>
    <t>Noncitizen Returns</t>
  </si>
  <si>
    <t>Line</t>
  </si>
  <si>
    <t/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</si>
  <si>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</si>
  <si>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</si>
  <si>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</si>
  <si>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</si>
  <si>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</si>
  <si>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</si>
  <si>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</si>
  <si>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</si>
  <si>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</si>
  <si>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</si>
  <si>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</si>
  <si>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</si>
  <si>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</si>
  <si>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</si>
  <si>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</si>
  <si>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</si>
  <si>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</si>
  <si>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</si>
  <si>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</si>
  <si>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</si>
  <si>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</si>
  <si>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</si>
  <si>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</si>
  <si>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</si>
  <si>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</si>
  <si>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</si>
  <si>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</si>
  <si>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</si>
  <si>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</si>
  <si>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</si>
  <si>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</si>
  <si>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</si>
  <si>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</si>
  <si>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</si>
  <si>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</si>
  <si>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</si>
  <si>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</si>
  <si>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</si>
  <si>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</si>
  <si>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</si>
  <si>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</si>
  <si>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</si>
  <si>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1</t>
  </si>
  <si>
    <t xml:space="preserve">        Gross domestic product</t>
  </si>
  <si>
    <t>2</t>
  </si>
  <si>
    <t>Personal consumption expenditures</t>
  </si>
  <si>
    <t>3</t>
  </si>
  <si>
    <t xml:space="preserve">    Goods</t>
  </si>
  <si>
    <t>4</t>
  </si>
  <si>
    <t xml:space="preserve">        Durable goods</t>
  </si>
  <si>
    <t>5</t>
  </si>
  <si>
    <t xml:space="preserve">        Nondurable goods</t>
  </si>
  <si>
    <t>6</t>
  </si>
  <si>
    <t xml:space="preserve">    Services</t>
  </si>
  <si>
    <t>7</t>
  </si>
  <si>
    <t>Gross private domestic investment</t>
  </si>
  <si>
    <t>8</t>
  </si>
  <si>
    <t xml:space="preserve">    Fixed investment</t>
  </si>
  <si>
    <t>9</t>
  </si>
  <si>
    <t xml:space="preserve">        Nonresidential</t>
  </si>
  <si>
    <t>10</t>
  </si>
  <si>
    <t xml:space="preserve">            Structures</t>
  </si>
  <si>
    <t>11</t>
  </si>
  <si>
    <t xml:space="preserve">            Equipment</t>
  </si>
  <si>
    <t>12</t>
  </si>
  <si>
    <t xml:space="preserve">            Intellectual property products</t>
  </si>
  <si>
    <t>13</t>
  </si>
  <si>
    <t xml:space="preserve">        Residential</t>
  </si>
  <si>
    <t>14</t>
  </si>
  <si>
    <t xml:space="preserve">    Change in private inventories</t>
  </si>
  <si>
    <t>15</t>
  </si>
  <si>
    <t>Net exports of goods and services</t>
  </si>
  <si>
    <t>16</t>
  </si>
  <si>
    <t xml:space="preserve">    Exports</t>
  </si>
  <si>
    <t>17</t>
  </si>
  <si>
    <t xml:space="preserve">        Goods</t>
  </si>
  <si>
    <t>18</t>
  </si>
  <si>
    <t xml:space="preserve">        Services</t>
  </si>
  <si>
    <t>19</t>
  </si>
  <si>
    <t xml:space="preserve">    Imports</t>
  </si>
  <si>
    <t>20</t>
  </si>
  <si>
    <t>21</t>
  </si>
  <si>
    <t>22</t>
  </si>
  <si>
    <t>Government consumption expenditures and gross investment</t>
  </si>
  <si>
    <t>23</t>
  </si>
  <si>
    <t xml:space="preserve">    Federal</t>
  </si>
  <si>
    <t>24</t>
  </si>
  <si>
    <t xml:space="preserve">        National defense</t>
  </si>
  <si>
    <t>25</t>
  </si>
  <si>
    <t xml:space="preserve">        Nondefense</t>
  </si>
  <si>
    <t>26</t>
  </si>
  <si>
    <t xml:space="preserve">    State and local</t>
  </si>
  <si>
    <t>27</t>
  </si>
  <si>
    <t>observation_date</t>
  </si>
  <si>
    <t>UNRATE</t>
  </si>
  <si>
    <t>Personal income</t>
  </si>
  <si>
    <t xml:space="preserve">    Compensation of employees</t>
  </si>
  <si>
    <t xml:space="preserve">        Wages and salaries</t>
  </si>
  <si>
    <t xml:space="preserve">            Private industries</t>
  </si>
  <si>
    <t xml:space="preserve">            Government</t>
  </si>
  <si>
    <t xml:space="preserve">        Supplements to wages and salaries</t>
  </si>
  <si>
    <t xml:space="preserve">            Employer contributions for employee pension and insurance funds1</t>
  </si>
  <si>
    <t xml:space="preserve">            Employer contributions for government social insurance</t>
  </si>
  <si>
    <t xml:space="preserve">    Proprietors' income with inventory valuation and capital consumption adjustments</t>
  </si>
  <si>
    <t xml:space="preserve">        Farm</t>
  </si>
  <si>
    <t xml:space="preserve">        Nonfarm</t>
  </si>
  <si>
    <t xml:space="preserve">    Rental income of persons with capital consumption adjustment</t>
  </si>
  <si>
    <t xml:space="preserve">    Personal income receipts on assets</t>
  </si>
  <si>
    <t xml:space="preserve">        Personal interest income</t>
  </si>
  <si>
    <t xml:space="preserve">        Personal dividend income</t>
  </si>
  <si>
    <t xml:space="preserve">    Personal current transfer receipts</t>
  </si>
  <si>
    <t xml:space="preserve">        Government social benefits to persons</t>
  </si>
  <si>
    <t xml:space="preserve">            Social security2</t>
  </si>
  <si>
    <t xml:space="preserve">            Medicare3</t>
  </si>
  <si>
    <t xml:space="preserve">            Medicaid</t>
  </si>
  <si>
    <t xml:space="preserve">            Unemployment insurance</t>
  </si>
  <si>
    <t xml:space="preserve">            Veterans' benefits</t>
  </si>
  <si>
    <t xml:space="preserve">            Other</t>
  </si>
  <si>
    <t xml:space="preserve">        Other current transfer receipts, from business (net)</t>
  </si>
  <si>
    <t xml:space="preserve">    Less: Contributions for government social insurance, domestic</t>
  </si>
  <si>
    <t>Less: Personal current taxes</t>
  </si>
  <si>
    <t>Equals: Disposable personal income</t>
  </si>
  <si>
    <t>28</t>
  </si>
  <si>
    <t>Less: Personal outlays</t>
  </si>
  <si>
    <t>29</t>
  </si>
  <si>
    <t xml:space="preserve">    Personal consumption expenditures</t>
  </si>
  <si>
    <t>30</t>
  </si>
  <si>
    <t xml:space="preserve">    Personal interest payments4</t>
  </si>
  <si>
    <t>31</t>
  </si>
  <si>
    <t xml:space="preserve">    Personal current transfer payments</t>
  </si>
  <si>
    <t>32</t>
  </si>
  <si>
    <t xml:space="preserve">        To government</t>
  </si>
  <si>
    <t>33</t>
  </si>
  <si>
    <t xml:space="preserve">        To the rest of the world (net)</t>
  </si>
  <si>
    <t>34</t>
  </si>
  <si>
    <t>Equals: Personal saving</t>
  </si>
  <si>
    <t>35</t>
  </si>
  <si>
    <t xml:space="preserve">    Personal saving as a percentage of disposable personal income</t>
  </si>
  <si>
    <t>Addenda:</t>
  </si>
  <si>
    <t>36</t>
  </si>
  <si>
    <t xml:space="preserve">    Personal income excluding current transfer receipts, billions of chained (2017) dollars5</t>
  </si>
  <si>
    <t xml:space="preserve">    Disposable personal income:</t>
  </si>
  <si>
    <t>37</t>
  </si>
  <si>
    <t xml:space="preserve">        Total, billions of chained (2017) dollars5</t>
  </si>
  <si>
    <t xml:space="preserve">        Per capita:</t>
  </si>
  <si>
    <t>38</t>
  </si>
  <si>
    <t xml:space="preserve">            Current dollars</t>
  </si>
  <si>
    <t>39</t>
  </si>
  <si>
    <t xml:space="preserve">            Chained (2017) dollars</t>
  </si>
  <si>
    <t>40</t>
  </si>
  <si>
    <t xml:space="preserve">    Population (midperiod, thousands)6</t>
  </si>
  <si>
    <t xml:space="preserve">    Percent change from preceding period:</t>
  </si>
  <si>
    <t>41</t>
  </si>
  <si>
    <t xml:space="preserve">        Disposable personal income, current dollars</t>
  </si>
  <si>
    <t>42</t>
  </si>
  <si>
    <t xml:space="preserve">        Personal outlays, current dollars</t>
  </si>
  <si>
    <t>43</t>
  </si>
  <si>
    <t xml:space="preserve">        Disposable personal income, chained (2017) dollars</t>
  </si>
  <si>
    <t>Net Immigration</t>
  </si>
  <si>
    <t>Immigration rate per 100K</t>
  </si>
  <si>
    <t>Net Immigration 3yr Avg</t>
  </si>
  <si>
    <t xml:space="preserve">Immigration Rate </t>
  </si>
  <si>
    <t>GDP Nominal</t>
  </si>
  <si>
    <t>GDP Growth Rate</t>
  </si>
  <si>
    <t xml:space="preserve">Personal Income </t>
  </si>
  <si>
    <t>Unemployment Rate</t>
  </si>
  <si>
    <t xml:space="preserve">Net Immigration </t>
  </si>
  <si>
    <t xml:space="preserve">GDP growth rate </t>
  </si>
  <si>
    <t xml:space="preserve">Unemployment Rate </t>
  </si>
  <si>
    <t>Personal Income</t>
  </si>
  <si>
    <t>Mean</t>
  </si>
  <si>
    <t xml:space="preserve">Median </t>
  </si>
  <si>
    <t>Std. Dev</t>
  </si>
  <si>
    <t>Min</t>
  </si>
  <si>
    <t>Max</t>
  </si>
  <si>
    <t xml:space="preserve">Count </t>
  </si>
  <si>
    <t>Immigration Lag1</t>
  </si>
  <si>
    <t>GDP lag1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</si>
  <si>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</si>
  <si>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</si>
  <si>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</si>
  <si>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</si>
  <si>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</si>
  <si>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</si>
  <si>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</si>
  <si>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</si>
  <si>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</si>
  <si>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</si>
  <si>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</si>
  <si>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</si>
  <si>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</si>
  <si>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</si>
  <si>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</si>
  <si>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</si>
  <si>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</si>
  <si>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</si>
  <si>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</si>
  <si>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</si>
  <si>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</si>
  <si>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</si>
  <si>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</si>
  <si>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</si>
  <si>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</si>
  <si>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</si>
  <si>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GDP Growth Rate</t>
  </si>
  <si>
    <t>Residuals</t>
  </si>
  <si>
    <t>Predicted GDP Growth</t>
  </si>
  <si>
    <t>Actual GDP Growth</t>
  </si>
  <si>
    <t>Error</t>
  </si>
  <si>
    <t>Abs Error</t>
  </si>
  <si>
    <t>Immigration Lag 1</t>
  </si>
  <si>
    <t>MAE</t>
  </si>
  <si>
    <t>MAPE</t>
  </si>
  <si>
    <t>Prediction Accuracy</t>
  </si>
  <si>
    <t>% Error</t>
  </si>
  <si>
    <t>RMSE</t>
  </si>
  <si>
    <t>Predicted Unemployment Rate</t>
  </si>
  <si>
    <t>MODEL 2: Immigration Impact on Unemployment</t>
  </si>
  <si>
    <t xml:space="preserve">Predicted Personal Income </t>
  </si>
  <si>
    <t>MODEL 3: Immigration Impact on Personal Income</t>
  </si>
  <si>
    <t>Model 1</t>
  </si>
  <si>
    <t>Model 2</t>
  </si>
  <si>
    <t>Model 3</t>
  </si>
  <si>
    <t>Predicted Unemployment</t>
  </si>
  <si>
    <t>Actual Unemployment</t>
  </si>
  <si>
    <t>Predicted Income Growth</t>
  </si>
  <si>
    <t xml:space="preserve">Actual Income Growth </t>
  </si>
  <si>
    <t xml:space="preserve">%Error </t>
  </si>
  <si>
    <t>Model</t>
  </si>
  <si>
    <r>
      <t>Training 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</si>
  <si>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MODEL 1: Impact of Immigration on GDP Growth</t>
  </si>
  <si>
    <t>Immigration coefficient</t>
  </si>
  <si>
    <t xml:space="preserve">Model </t>
  </si>
  <si>
    <t xml:space="preserve">Variables </t>
  </si>
  <si>
    <t xml:space="preserve">GPD Growth </t>
  </si>
  <si>
    <t xml:space="preserve">Unemployment </t>
  </si>
  <si>
    <t>P-value Heatmap</t>
  </si>
  <si>
    <t xml:space="preserve">Metrics </t>
  </si>
  <si>
    <t>Training Results  (1980-2015)</t>
  </si>
  <si>
    <t>F-statistic P-value</t>
  </si>
  <si>
    <t xml:space="preserve">Immigration Coefficient </t>
  </si>
  <si>
    <t xml:space="preserve">Immigration P-value </t>
  </si>
  <si>
    <t xml:space="preserve">Immigration Significant </t>
  </si>
  <si>
    <t>Testing Results (2016-2021)</t>
  </si>
  <si>
    <t xml:space="preserve">Conclusion </t>
  </si>
  <si>
    <t xml:space="preserve">Model 1 - GDP growth </t>
  </si>
  <si>
    <t>Model 2 - Unemployment</t>
  </si>
  <si>
    <t xml:space="preserve">Model 3 - Income growth </t>
  </si>
  <si>
    <t xml:space="preserve">Critical Factor Ranking </t>
  </si>
  <si>
    <t xml:space="preserve">GDP Growth Ranking </t>
  </si>
  <si>
    <t xml:space="preserve">Variable </t>
  </si>
  <si>
    <t xml:space="preserve">Coefficient </t>
  </si>
  <si>
    <t xml:space="preserve">P-value </t>
  </si>
  <si>
    <t>Effect on DV</t>
  </si>
  <si>
    <t xml:space="preserve">GDP Nominal </t>
  </si>
  <si>
    <t>Net immigration</t>
  </si>
  <si>
    <r>
      <t>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</si>
  <si>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Adjusted 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</si>
  <si>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NO</t>
  </si>
  <si>
    <t xml:space="preserve">NO, Significant impact </t>
  </si>
  <si>
    <t>No significant effect on Income Growth</t>
  </si>
  <si>
    <t>No significant effect on Unemployment</t>
  </si>
  <si>
    <t>No significant effect on GDP Growth</t>
  </si>
  <si>
    <t>Marginal positive effect on GDP Growth (not significant)</t>
  </si>
  <si>
    <t>Marginal positive effect on Unemployment (not significant)</t>
  </si>
  <si>
    <t>Strong positive effect on Income Growth (HIGHLY SIGNIFICANT)</t>
  </si>
  <si>
    <t>Significant positive effect on Income Growth</t>
  </si>
  <si>
    <t>Critical Factor Ranking based on P-value</t>
  </si>
  <si>
    <t>EXTREMELY strong positive effect on Income Growth. Each $1B increase in GDP → 0.85% increase in personal income growth. HIGHLY SIGNIFICANT.</t>
  </si>
  <si>
    <t>Significant positive effect on Income Growth. 1 percentage point increase in unemployment → 3.23% increase in income growth (counterintuitive - may reflect wage inflation during tight labor markets).</t>
  </si>
  <si>
    <t>Marginal effect on GDP Growth. Not statistically significant at 5% level, but close (marginal at 10% level).</t>
  </si>
  <si>
    <t>Marginal effect on Unemployment. Not significant, but shows trend: higher GDP growth → higher unemployment</t>
  </si>
  <si>
    <t>Correlation of Immigration and Economic Variables (1980–2021)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</si>
</sst>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0" borderId="0" xfId="1"/>
    <xf numFmtId="0" fontId="2" fillId="2" borderId="1" xfId="1" applyFont="1" applyFill="1" applyBorder="1" applyAlignment="1">
      <alignment horizontal="center" vertical="center"/>
    </xf>
    <xf numFmtId="0" fontId="3" fillId="0" borderId="0" xfId="1" applyFont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2" fontId="0" fillId="0" borderId="0" xfId="0" applyNumberFormat="1" applyAlignment="1">
      <alignment horizontal="center" vertical="center"/>
    </xf>
    <xf numFmtId="0" fontId="0" fillId="0" borderId="3" xfId="0" applyBorder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Continuous"/>
    </xf>
    <xf numFmtId="3" fontId="0" fillId="0" borderId="0" xfId="0" applyNumberFormat="1"/>
    <xf numFmtId="49" fontId="0" fillId="0" borderId="0" xfId="2" applyNumberFormat="1" applyFont="1" applyAlignment="1">
      <alignment horizontal="center"/>
    </xf>
    <xf numFmtId="9" fontId="0" fillId="0" borderId="0" xfId="3" applyFont="1" applyAlignment="1">
      <alignment horizontal="center" vertical="center"/>
    </xf>
    <xf numFmtId="9" fontId="0" fillId="0" borderId="0" xfId="3" applyFont="1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</cellXfs>
  <cellStyles count="4">
    <cellStyle name="Comma" xfId="2" builtinId="3"/>
    <cellStyle name="Normal" xfId="0" builtinId="0"/>
    <cellStyle name="Normal 2" xfId="1" xr:uid="{F923E0BA-6584-436D-B203-481ACA90BA95}"/>
    <cellStyle name="Percent" xfId="3" builtinId="5"/>
  </cellStyles>
  <dxfs count="27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Net Immigration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'Master Dataset'!$K$2:$K$43</c:f>
              <c:numCache>
                <c:formatCode>#,##0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xVal>
          <c:yVal>
            <c:numRef>
              <c:f>'Result 1'!$C$27:$C$68</c:f>
              <c:numCache>
                <c:formatCode>General</c:formatCode>
                <c:ptCount val="42"/>
                <c:pt idx="0">
                  <c:v>-4.9602055230607718</c:v>
                </c:pt>
                <c:pt idx="1">
                  <c:v>7.2640828877714672</c:v>
                </c:pt>
                <c:pt idx="2">
                  <c:v>-0.43631176308400654</c:v>
                </c:pt>
                <c:pt idx="3">
                  <c:v>3.7521794349661022</c:v>
                </c:pt>
                <c:pt idx="4">
                  <c:v>5.7571959713086596</c:v>
                </c:pt>
                <c:pt idx="5">
                  <c:v>1.9122642162473271</c:v>
                </c:pt>
                <c:pt idx="6">
                  <c:v>-0.73014756310175066</c:v>
                </c:pt>
                <c:pt idx="7">
                  <c:v>0.1162851795635591</c:v>
                </c:pt>
                <c:pt idx="8">
                  <c:v>2.1944089289502235</c:v>
                </c:pt>
                <c:pt idx="9">
                  <c:v>2.7786782871313793</c:v>
                </c:pt>
                <c:pt idx="10">
                  <c:v>1.2597548569352268</c:v>
                </c:pt>
                <c:pt idx="11">
                  <c:v>-0.56201607678603471</c:v>
                </c:pt>
                <c:pt idx="12">
                  <c:v>1.0675016102729584</c:v>
                </c:pt>
                <c:pt idx="13">
                  <c:v>-0.17120777547525723</c:v>
                </c:pt>
                <c:pt idx="14">
                  <c:v>0.82630854412411114</c:v>
                </c:pt>
                <c:pt idx="15">
                  <c:v>-1.1626002997752547</c:v>
                </c:pt>
                <c:pt idx="16">
                  <c:v>-0.56928116155662511</c:v>
                </c:pt>
                <c:pt idx="17">
                  <c:v>-0.15259174160672817</c:v>
                </c:pt>
                <c:pt idx="18">
                  <c:v>-1.2591328193279683</c:v>
                </c:pt>
                <c:pt idx="19">
                  <c:v>-0.77667457764089409</c:v>
                </c:pt>
                <c:pt idx="20">
                  <c:v>-0.56853405876155172</c:v>
                </c:pt>
                <c:pt idx="21">
                  <c:v>-2.9146493409011649</c:v>
                </c:pt>
                <c:pt idx="22">
                  <c:v>-2.1450950164929146</c:v>
                </c:pt>
                <c:pt idx="23">
                  <c:v>-0.9262015164809867</c:v>
                </c:pt>
                <c:pt idx="24">
                  <c:v>0.77245996694047214</c:v>
                </c:pt>
                <c:pt idx="25">
                  <c:v>1.0646523177626914</c:v>
                </c:pt>
                <c:pt idx="26">
                  <c:v>0.4265400267423578</c:v>
                </c:pt>
                <c:pt idx="27">
                  <c:v>-0.85080496803521122</c:v>
                </c:pt>
                <c:pt idx="28">
                  <c:v>-3.2147286824915118</c:v>
                </c:pt>
                <c:pt idx="29">
                  <c:v>-6.1892193141385938</c:v>
                </c:pt>
                <c:pt idx="30">
                  <c:v>-0.13630046453541045</c:v>
                </c:pt>
                <c:pt idx="31">
                  <c:v>-0.37036087570000475</c:v>
                </c:pt>
                <c:pt idx="32">
                  <c:v>6.2791821480218779E-2</c:v>
                </c:pt>
                <c:pt idx="33">
                  <c:v>-0.40744893729271503</c:v>
                </c:pt>
                <c:pt idx="34">
                  <c:v>-0.11041299336483412</c:v>
                </c:pt>
                <c:pt idx="35">
                  <c:v>-0.4957530661103573</c:v>
                </c:pt>
                <c:pt idx="36">
                  <c:v>-1.4569574636539318</c:v>
                </c:pt>
                <c:pt idx="37">
                  <c:v>-7.0701168017156313E-2</c:v>
                </c:pt>
                <c:pt idx="38">
                  <c:v>0.65098259775023593</c:v>
                </c:pt>
                <c:pt idx="39">
                  <c:v>-0.58320928719787268</c:v>
                </c:pt>
                <c:pt idx="40">
                  <c:v>-5.031316666084761</c:v>
                </c:pt>
                <c:pt idx="41">
                  <c:v>6.3457764727272137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09-43D5-8B84-16C82E72A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699743"/>
        <c:axId val="1229703583"/>
      </c:scatterChart>
      <c:valAx>
        <c:axId val="1229699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Immigration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229703583"/>
        <c:crosses val="autoZero"/>
        <c:crossBetween val="midCat"/>
      </c:valAx>
      <c:valAx>
        <c:axId val="1229703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6997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Unemployment Rate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'Master Dataset'!$L$2:$L$43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xVal>
          <c:yVal>
            <c:numRef>
              <c:f>'Result 1'!$C$27:$C$68</c:f>
              <c:numCache>
                <c:formatCode>General</c:formatCode>
                <c:ptCount val="42"/>
                <c:pt idx="0">
                  <c:v>-4.9602055230607718</c:v>
                </c:pt>
                <c:pt idx="1">
                  <c:v>7.2640828877714672</c:v>
                </c:pt>
                <c:pt idx="2">
                  <c:v>-0.43631176308400654</c:v>
                </c:pt>
                <c:pt idx="3">
                  <c:v>3.7521794349661022</c:v>
                </c:pt>
                <c:pt idx="4">
                  <c:v>5.7571959713086596</c:v>
                </c:pt>
                <c:pt idx="5">
                  <c:v>1.9122642162473271</c:v>
                </c:pt>
                <c:pt idx="6">
                  <c:v>-0.73014756310175066</c:v>
                </c:pt>
                <c:pt idx="7">
                  <c:v>0.1162851795635591</c:v>
                </c:pt>
                <c:pt idx="8">
                  <c:v>2.1944089289502235</c:v>
                </c:pt>
                <c:pt idx="9">
                  <c:v>2.7786782871313793</c:v>
                </c:pt>
                <c:pt idx="10">
                  <c:v>1.2597548569352268</c:v>
                </c:pt>
                <c:pt idx="11">
                  <c:v>-0.56201607678603471</c:v>
                </c:pt>
                <c:pt idx="12">
                  <c:v>1.0675016102729584</c:v>
                </c:pt>
                <c:pt idx="13">
                  <c:v>-0.17120777547525723</c:v>
                </c:pt>
                <c:pt idx="14">
                  <c:v>0.82630854412411114</c:v>
                </c:pt>
                <c:pt idx="15">
                  <c:v>-1.1626002997752547</c:v>
                </c:pt>
                <c:pt idx="16">
                  <c:v>-0.56928116155662511</c:v>
                </c:pt>
                <c:pt idx="17">
                  <c:v>-0.15259174160672817</c:v>
                </c:pt>
                <c:pt idx="18">
                  <c:v>-1.2591328193279683</c:v>
                </c:pt>
                <c:pt idx="19">
                  <c:v>-0.77667457764089409</c:v>
                </c:pt>
                <c:pt idx="20">
                  <c:v>-0.56853405876155172</c:v>
                </c:pt>
                <c:pt idx="21">
                  <c:v>-2.9146493409011649</c:v>
                </c:pt>
                <c:pt idx="22">
                  <c:v>-2.1450950164929146</c:v>
                </c:pt>
                <c:pt idx="23">
                  <c:v>-0.9262015164809867</c:v>
                </c:pt>
                <c:pt idx="24">
                  <c:v>0.77245996694047214</c:v>
                </c:pt>
                <c:pt idx="25">
                  <c:v>1.0646523177626914</c:v>
                </c:pt>
                <c:pt idx="26">
                  <c:v>0.4265400267423578</c:v>
                </c:pt>
                <c:pt idx="27">
                  <c:v>-0.85080496803521122</c:v>
                </c:pt>
                <c:pt idx="28">
                  <c:v>-3.2147286824915118</c:v>
                </c:pt>
                <c:pt idx="29">
                  <c:v>-6.1892193141385938</c:v>
                </c:pt>
                <c:pt idx="30">
                  <c:v>-0.13630046453541045</c:v>
                </c:pt>
                <c:pt idx="31">
                  <c:v>-0.37036087570000475</c:v>
                </c:pt>
                <c:pt idx="32">
                  <c:v>6.2791821480218779E-2</c:v>
                </c:pt>
                <c:pt idx="33">
                  <c:v>-0.40744893729271503</c:v>
                </c:pt>
                <c:pt idx="34">
                  <c:v>-0.11041299336483412</c:v>
                </c:pt>
                <c:pt idx="35">
                  <c:v>-0.4957530661103573</c:v>
                </c:pt>
                <c:pt idx="36">
                  <c:v>-1.4569574636539318</c:v>
                </c:pt>
                <c:pt idx="37">
                  <c:v>-7.0701168017156313E-2</c:v>
                </c:pt>
                <c:pt idx="38">
                  <c:v>0.65098259775023593</c:v>
                </c:pt>
                <c:pt idx="39">
                  <c:v>-0.58320928719787268</c:v>
                </c:pt>
                <c:pt idx="40">
                  <c:v>-5.031316666084761</c:v>
                </c:pt>
                <c:pt idx="41">
                  <c:v>6.3457764727272137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63-4B08-9B73-90927AC07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706943"/>
        <c:axId val="1229708383"/>
      </c:scatterChart>
      <c:valAx>
        <c:axId val="1229706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Unemployment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708383"/>
        <c:crosses val="autoZero"/>
        <c:crossBetween val="midCat"/>
      </c:valAx>
      <c:valAx>
        <c:axId val="12297083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7069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Immigration Lag1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'Master Dataset'!$M$2:$M$43</c:f>
              <c:numCache>
                <c:formatCode>General</c:formatCode>
                <c:ptCount val="42"/>
                <c:pt idx="0">
                  <c:v>0</c:v>
                </c:pt>
                <c:pt idx="1">
                  <c:v>-5813</c:v>
                </c:pt>
                <c:pt idx="2">
                  <c:v>-86988</c:v>
                </c:pt>
                <c:pt idx="3">
                  <c:v>-196068</c:v>
                </c:pt>
                <c:pt idx="4">
                  <c:v>-339541</c:v>
                </c:pt>
                <c:pt idx="5">
                  <c:v>-316325</c:v>
                </c:pt>
                <c:pt idx="6">
                  <c:v>-428548</c:v>
                </c:pt>
                <c:pt idx="7">
                  <c:v>-948739</c:v>
                </c:pt>
                <c:pt idx="8">
                  <c:v>-451122</c:v>
                </c:pt>
                <c:pt idx="9">
                  <c:v>-219790</c:v>
                </c:pt>
                <c:pt idx="10">
                  <c:v>331925</c:v>
                </c:pt>
                <c:pt idx="11">
                  <c:v>605366</c:v>
                </c:pt>
                <c:pt idx="12">
                  <c:v>845690</c:v>
                </c:pt>
                <c:pt idx="13">
                  <c:v>-60507</c:v>
                </c:pt>
                <c:pt idx="14">
                  <c:v>-267855</c:v>
                </c:pt>
                <c:pt idx="15">
                  <c:v>-159108</c:v>
                </c:pt>
                <c:pt idx="16">
                  <c:v>-545538</c:v>
                </c:pt>
                <c:pt idx="17">
                  <c:v>-652127</c:v>
                </c:pt>
                <c:pt idx="18">
                  <c:v>-687616</c:v>
                </c:pt>
                <c:pt idx="19">
                  <c:v>-1015022</c:v>
                </c:pt>
                <c:pt idx="20">
                  <c:v>-1027905</c:v>
                </c:pt>
                <c:pt idx="21">
                  <c:v>-951176</c:v>
                </c:pt>
                <c:pt idx="22">
                  <c:v>-410575</c:v>
                </c:pt>
                <c:pt idx="23">
                  <c:v>-91143</c:v>
                </c:pt>
                <c:pt idx="24">
                  <c:v>-424564</c:v>
                </c:pt>
                <c:pt idx="25">
                  <c:v>-396518</c:v>
                </c:pt>
                <c:pt idx="26">
                  <c:v>-167356</c:v>
                </c:pt>
                <c:pt idx="27">
                  <c:v>-17132</c:v>
                </c:pt>
                <c:pt idx="28">
                  <c:v>-110139</c:v>
                </c:pt>
                <c:pt idx="29">
                  <c:v>-3825</c:v>
                </c:pt>
                <c:pt idx="30">
                  <c:v>243114</c:v>
                </c:pt>
                <c:pt idx="31">
                  <c:v>261671</c:v>
                </c:pt>
                <c:pt idx="32">
                  <c:v>405965</c:v>
                </c:pt>
                <c:pt idx="33">
                  <c:v>443126</c:v>
                </c:pt>
                <c:pt idx="34">
                  <c:v>449288</c:v>
                </c:pt>
                <c:pt idx="35">
                  <c:v>517631</c:v>
                </c:pt>
                <c:pt idx="36">
                  <c:v>667012</c:v>
                </c:pt>
                <c:pt idx="37">
                  <c:v>829752</c:v>
                </c:pt>
                <c:pt idx="38">
                  <c:v>796106</c:v>
                </c:pt>
                <c:pt idx="39">
                  <c:v>631502</c:v>
                </c:pt>
                <c:pt idx="40">
                  <c:v>543373</c:v>
                </c:pt>
                <c:pt idx="41">
                  <c:v>313888</c:v>
                </c:pt>
              </c:numCache>
            </c:numRef>
          </c:xVal>
          <c:yVal>
            <c:numRef>
              <c:f>'Result 1'!$C$27:$C$68</c:f>
              <c:numCache>
                <c:formatCode>General</c:formatCode>
                <c:ptCount val="42"/>
                <c:pt idx="0">
                  <c:v>-4.9602055230607718</c:v>
                </c:pt>
                <c:pt idx="1">
                  <c:v>7.2640828877714672</c:v>
                </c:pt>
                <c:pt idx="2">
                  <c:v>-0.43631176308400654</c:v>
                </c:pt>
                <c:pt idx="3">
                  <c:v>3.7521794349661022</c:v>
                </c:pt>
                <c:pt idx="4">
                  <c:v>5.7571959713086596</c:v>
                </c:pt>
                <c:pt idx="5">
                  <c:v>1.9122642162473271</c:v>
                </c:pt>
                <c:pt idx="6">
                  <c:v>-0.73014756310175066</c:v>
                </c:pt>
                <c:pt idx="7">
                  <c:v>0.1162851795635591</c:v>
                </c:pt>
                <c:pt idx="8">
                  <c:v>2.1944089289502235</c:v>
                </c:pt>
                <c:pt idx="9">
                  <c:v>2.7786782871313793</c:v>
                </c:pt>
                <c:pt idx="10">
                  <c:v>1.2597548569352268</c:v>
                </c:pt>
                <c:pt idx="11">
                  <c:v>-0.56201607678603471</c:v>
                </c:pt>
                <c:pt idx="12">
                  <c:v>1.0675016102729584</c:v>
                </c:pt>
                <c:pt idx="13">
                  <c:v>-0.17120777547525723</c:v>
                </c:pt>
                <c:pt idx="14">
                  <c:v>0.82630854412411114</c:v>
                </c:pt>
                <c:pt idx="15">
                  <c:v>-1.1626002997752547</c:v>
                </c:pt>
                <c:pt idx="16">
                  <c:v>-0.56928116155662511</c:v>
                </c:pt>
                <c:pt idx="17">
                  <c:v>-0.15259174160672817</c:v>
                </c:pt>
                <c:pt idx="18">
                  <c:v>-1.2591328193279683</c:v>
                </c:pt>
                <c:pt idx="19">
                  <c:v>-0.77667457764089409</c:v>
                </c:pt>
                <c:pt idx="20">
                  <c:v>-0.56853405876155172</c:v>
                </c:pt>
                <c:pt idx="21">
                  <c:v>-2.9146493409011649</c:v>
                </c:pt>
                <c:pt idx="22">
                  <c:v>-2.1450950164929146</c:v>
                </c:pt>
                <c:pt idx="23">
                  <c:v>-0.9262015164809867</c:v>
                </c:pt>
                <c:pt idx="24">
                  <c:v>0.77245996694047214</c:v>
                </c:pt>
                <c:pt idx="25">
                  <c:v>1.0646523177626914</c:v>
                </c:pt>
                <c:pt idx="26">
                  <c:v>0.4265400267423578</c:v>
                </c:pt>
                <c:pt idx="27">
                  <c:v>-0.85080496803521122</c:v>
                </c:pt>
                <c:pt idx="28">
                  <c:v>-3.2147286824915118</c:v>
                </c:pt>
                <c:pt idx="29">
                  <c:v>-6.1892193141385938</c:v>
                </c:pt>
                <c:pt idx="30">
                  <c:v>-0.13630046453541045</c:v>
                </c:pt>
                <c:pt idx="31">
                  <c:v>-0.37036087570000475</c:v>
                </c:pt>
                <c:pt idx="32">
                  <c:v>6.2791821480218779E-2</c:v>
                </c:pt>
                <c:pt idx="33">
                  <c:v>-0.40744893729271503</c:v>
                </c:pt>
                <c:pt idx="34">
                  <c:v>-0.11041299336483412</c:v>
                </c:pt>
                <c:pt idx="35">
                  <c:v>-0.4957530661103573</c:v>
                </c:pt>
                <c:pt idx="36">
                  <c:v>-1.4569574636539318</c:v>
                </c:pt>
                <c:pt idx="37">
                  <c:v>-7.0701168017156313E-2</c:v>
                </c:pt>
                <c:pt idx="38">
                  <c:v>0.65098259775023593</c:v>
                </c:pt>
                <c:pt idx="39">
                  <c:v>-0.58320928719787268</c:v>
                </c:pt>
                <c:pt idx="40">
                  <c:v>-5.031316666084761</c:v>
                </c:pt>
                <c:pt idx="41">
                  <c:v>6.3457764727272137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40-4DCE-85BB-FA8803E56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694943"/>
        <c:axId val="1229696383"/>
      </c:scatterChart>
      <c:valAx>
        <c:axId val="1229694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Immigration Lag1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696383"/>
        <c:crosses val="autoZero"/>
        <c:crossBetween val="midCat"/>
      </c:valAx>
      <c:valAx>
        <c:axId val="12296963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6949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Net Immigration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Growth Rate</c:v>
          </c:tx>
          <c:spPr>
            <a:ln w="19050">
              <a:noFill/>
            </a:ln>
          </c:spPr>
          <c:xVal>
            <c:numRef>
              <c:f>'Master Dataset'!$K$2:$K$43</c:f>
              <c:numCache>
                <c:formatCode>#,##0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xVal>
          <c:yVal>
            <c:numRef>
              <c:f>'Master Dataset'!$E$2:$E$43</c:f>
              <c:numCache>
                <c:formatCode>0.00</c:formatCode>
                <c:ptCount val="42"/>
                <c:pt idx="1">
                  <c:v>12.238826864522444</c:v>
                </c:pt>
                <c:pt idx="2">
                  <c:v>4.2656688493919601</c:v>
                </c:pt>
                <c:pt idx="3">
                  <c:v>8.6787487289909624</c:v>
                </c:pt>
                <c:pt idx="4">
                  <c:v>11.106219042377543</c:v>
                </c:pt>
                <c:pt idx="5">
                  <c:v>7.4648305924311504</c:v>
                </c:pt>
                <c:pt idx="6">
                  <c:v>5.5450564646231939</c:v>
                </c:pt>
                <c:pt idx="7">
                  <c:v>6.0179928378024155</c:v>
                </c:pt>
                <c:pt idx="8">
                  <c:v>7.8513758444554256</c:v>
                </c:pt>
                <c:pt idx="9">
                  <c:v>7.7381407073562132</c:v>
                </c:pt>
                <c:pt idx="10">
                  <c:v>5.698737946681792</c:v>
                </c:pt>
                <c:pt idx="11">
                  <c:v>3.2701111837802483</c:v>
                </c:pt>
                <c:pt idx="12">
                  <c:v>5.8816842857374807</c:v>
                </c:pt>
                <c:pt idx="13">
                  <c:v>5.1884115761544738</c:v>
                </c:pt>
                <c:pt idx="14">
                  <c:v>6.249088735310405</c:v>
                </c:pt>
                <c:pt idx="15">
                  <c:v>4.8372488747392683</c:v>
                </c:pt>
                <c:pt idx="16">
                  <c:v>5.6729976307970285</c:v>
                </c:pt>
                <c:pt idx="17">
                  <c:v>6.2491484064361895</c:v>
                </c:pt>
                <c:pt idx="18">
                  <c:v>5.6565939190449415</c:v>
                </c:pt>
                <c:pt idx="19">
                  <c:v>6.2717923820453008</c:v>
                </c:pt>
                <c:pt idx="20">
                  <c:v>6.435335160727627</c:v>
                </c:pt>
                <c:pt idx="21">
                  <c:v>3.2279777582674827</c:v>
                </c:pt>
                <c:pt idx="22">
                  <c:v>3.2810742872263083</c:v>
                </c:pt>
                <c:pt idx="23">
                  <c:v>4.8256489555407089</c:v>
                </c:pt>
                <c:pt idx="24">
                  <c:v>6.6398987474359599</c:v>
                </c:pt>
                <c:pt idx="25">
                  <c:v>6.7282192319025631</c:v>
                </c:pt>
                <c:pt idx="26">
                  <c:v>5.9543530277931129</c:v>
                </c:pt>
                <c:pt idx="27">
                  <c:v>4.7670749008367377</c:v>
                </c:pt>
                <c:pt idx="28">
                  <c:v>2.0429453786737706</c:v>
                </c:pt>
                <c:pt idx="29">
                  <c:v>-1.9756396454952252</c:v>
                </c:pt>
                <c:pt idx="30">
                  <c:v>3.9431969664527777</c:v>
                </c:pt>
                <c:pt idx="31">
                  <c:v>3.6593793607548726</c:v>
                </c:pt>
                <c:pt idx="32">
                  <c:v>4.1943114290659391</c:v>
                </c:pt>
                <c:pt idx="33">
                  <c:v>3.855666297526767</c:v>
                </c:pt>
                <c:pt idx="34">
                  <c:v>4.3090630127897409</c:v>
                </c:pt>
                <c:pt idx="35">
                  <c:v>3.9010455415405496</c:v>
                </c:pt>
                <c:pt idx="36">
                  <c:v>2.787100300628595</c:v>
                </c:pt>
                <c:pt idx="37">
                  <c:v>4.2924982318438127</c:v>
                </c:pt>
                <c:pt idx="38">
                  <c:v>5.3252838808694714</c:v>
                </c:pt>
                <c:pt idx="39">
                  <c:v>4.2771040592549561</c:v>
                </c:pt>
                <c:pt idx="40">
                  <c:v>-0.76462395543175821</c:v>
                </c:pt>
                <c:pt idx="41">
                  <c:v>10.995401234134723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80-4381-B3B9-810D5F546AE9}"/>
            </c:ext>
          </c:extLst>
        </c:ser>
        <c:ser>
          <c:idx val="1"/>
          <c:order val="1"/>
          <c:tx>
            <c:v>Predicted GDP Growth Rate</c:v>
          </c:tx>
          <c:spPr>
            <a:ln w="19050">
              <a:noFill/>
            </a:ln>
          </c:spPr>
          <c:xVal>
            <c:numRef>
              <c:f>'Master Dataset'!$K$2:$K$43</c:f>
              <c:numCache>
                <c:formatCode>#,##0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xVal>
          <c:yVal>
            <c:numRef>
              <c:f>'Result 1'!$B$27:$B$68</c:f>
              <c:numCache>
                <c:formatCode>General</c:formatCode>
                <c:ptCount val="42"/>
                <c:pt idx="0">
                  <c:v>4.9602055230607718</c:v>
                </c:pt>
                <c:pt idx="1">
                  <c:v>4.9747439767509771</c:v>
                </c:pt>
                <c:pt idx="2">
                  <c:v>4.7019806124759667</c:v>
                </c:pt>
                <c:pt idx="3">
                  <c:v>4.9265692940248602</c:v>
                </c:pt>
                <c:pt idx="4">
                  <c:v>5.3490230710688831</c:v>
                </c:pt>
                <c:pt idx="5">
                  <c:v>5.5525663761838233</c:v>
                </c:pt>
                <c:pt idx="6">
                  <c:v>6.2752040277249446</c:v>
                </c:pt>
                <c:pt idx="7">
                  <c:v>5.9017076582388563</c:v>
                </c:pt>
                <c:pt idx="8">
                  <c:v>5.656966915505202</c:v>
                </c:pt>
                <c:pt idx="9">
                  <c:v>4.9594624202248339</c:v>
                </c:pt>
                <c:pt idx="10">
                  <c:v>4.4389830897465652</c:v>
                </c:pt>
                <c:pt idx="11">
                  <c:v>3.8321272605662831</c:v>
                </c:pt>
                <c:pt idx="12">
                  <c:v>4.8141826754645223</c:v>
                </c:pt>
                <c:pt idx="13">
                  <c:v>5.359619351629731</c:v>
                </c:pt>
                <c:pt idx="14">
                  <c:v>5.4227801911862938</c:v>
                </c:pt>
                <c:pt idx="15">
                  <c:v>5.999849174514523</c:v>
                </c:pt>
                <c:pt idx="16">
                  <c:v>6.2422787923536536</c:v>
                </c:pt>
                <c:pt idx="17">
                  <c:v>6.4017401480429177</c:v>
                </c:pt>
                <c:pt idx="18">
                  <c:v>6.9157267383729097</c:v>
                </c:pt>
                <c:pt idx="19">
                  <c:v>7.0484669596861949</c:v>
                </c:pt>
                <c:pt idx="20">
                  <c:v>7.0038692194891787</c:v>
                </c:pt>
                <c:pt idx="21">
                  <c:v>6.1426270991686476</c:v>
                </c:pt>
                <c:pt idx="22">
                  <c:v>5.4261693037192229</c:v>
                </c:pt>
                <c:pt idx="23">
                  <c:v>5.7518504720216956</c:v>
                </c:pt>
                <c:pt idx="24">
                  <c:v>5.8674387804954877</c:v>
                </c:pt>
                <c:pt idx="25">
                  <c:v>5.6635669141398717</c:v>
                </c:pt>
                <c:pt idx="26">
                  <c:v>5.5278130010507551</c:v>
                </c:pt>
                <c:pt idx="27">
                  <c:v>5.6178798688719489</c:v>
                </c:pt>
                <c:pt idx="28">
                  <c:v>5.2576740611652824</c:v>
                </c:pt>
                <c:pt idx="29">
                  <c:v>4.2135796686433684</c:v>
                </c:pt>
                <c:pt idx="30">
                  <c:v>4.0794974309881882</c:v>
                </c:pt>
                <c:pt idx="31">
                  <c:v>4.0297402364548773</c:v>
                </c:pt>
                <c:pt idx="32">
                  <c:v>4.1315196075857203</c:v>
                </c:pt>
                <c:pt idx="33">
                  <c:v>4.2631152348194821</c:v>
                </c:pt>
                <c:pt idx="34">
                  <c:v>4.419476006154575</c:v>
                </c:pt>
                <c:pt idx="35">
                  <c:v>4.3967986076509069</c:v>
                </c:pt>
                <c:pt idx="36">
                  <c:v>4.2440577642825268</c:v>
                </c:pt>
                <c:pt idx="37">
                  <c:v>4.3631993998609691</c:v>
                </c:pt>
                <c:pt idx="38">
                  <c:v>4.6743012831192354</c:v>
                </c:pt>
                <c:pt idx="39">
                  <c:v>4.8603133464528288</c:v>
                </c:pt>
                <c:pt idx="40">
                  <c:v>4.266692710653003</c:v>
                </c:pt>
                <c:pt idx="41">
                  <c:v>4.6496247614075097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80-4381-B3B9-810D5F54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694943"/>
        <c:axId val="1229702143"/>
      </c:scatterChart>
      <c:valAx>
        <c:axId val="1229694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Immigration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229702143"/>
        <c:crosses val="autoZero"/>
        <c:crossBetween val="midCat"/>
      </c:valAx>
      <c:valAx>
        <c:axId val="1229702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GDP Growth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6949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Unemployment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Growth Rate</c:v>
          </c:tx>
          <c:spPr>
            <a:ln w="19050">
              <a:noFill/>
            </a:ln>
          </c:spPr>
          <c:xVal>
            <c:numRef>
              <c:f>'Master Dataset'!$L$2:$L$43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xVal>
          <c:yVal>
            <c:numRef>
              <c:f>'Master Dataset'!$E$2:$E$43</c:f>
              <c:numCache>
                <c:formatCode>0.00</c:formatCode>
                <c:ptCount val="42"/>
                <c:pt idx="1">
                  <c:v>12.238826864522444</c:v>
                </c:pt>
                <c:pt idx="2">
                  <c:v>4.2656688493919601</c:v>
                </c:pt>
                <c:pt idx="3">
                  <c:v>8.6787487289909624</c:v>
                </c:pt>
                <c:pt idx="4">
                  <c:v>11.106219042377543</c:v>
                </c:pt>
                <c:pt idx="5">
                  <c:v>7.4648305924311504</c:v>
                </c:pt>
                <c:pt idx="6">
                  <c:v>5.5450564646231939</c:v>
                </c:pt>
                <c:pt idx="7">
                  <c:v>6.0179928378024155</c:v>
                </c:pt>
                <c:pt idx="8">
                  <c:v>7.8513758444554256</c:v>
                </c:pt>
                <c:pt idx="9">
                  <c:v>7.7381407073562132</c:v>
                </c:pt>
                <c:pt idx="10">
                  <c:v>5.698737946681792</c:v>
                </c:pt>
                <c:pt idx="11">
                  <c:v>3.2701111837802483</c:v>
                </c:pt>
                <c:pt idx="12">
                  <c:v>5.8816842857374807</c:v>
                </c:pt>
                <c:pt idx="13">
                  <c:v>5.1884115761544738</c:v>
                </c:pt>
                <c:pt idx="14">
                  <c:v>6.249088735310405</c:v>
                </c:pt>
                <c:pt idx="15">
                  <c:v>4.8372488747392683</c:v>
                </c:pt>
                <c:pt idx="16">
                  <c:v>5.6729976307970285</c:v>
                </c:pt>
                <c:pt idx="17">
                  <c:v>6.2491484064361895</c:v>
                </c:pt>
                <c:pt idx="18">
                  <c:v>5.6565939190449415</c:v>
                </c:pt>
                <c:pt idx="19">
                  <c:v>6.2717923820453008</c:v>
                </c:pt>
                <c:pt idx="20">
                  <c:v>6.435335160727627</c:v>
                </c:pt>
                <c:pt idx="21">
                  <c:v>3.2279777582674827</c:v>
                </c:pt>
                <c:pt idx="22">
                  <c:v>3.2810742872263083</c:v>
                </c:pt>
                <c:pt idx="23">
                  <c:v>4.8256489555407089</c:v>
                </c:pt>
                <c:pt idx="24">
                  <c:v>6.6398987474359599</c:v>
                </c:pt>
                <c:pt idx="25">
                  <c:v>6.7282192319025631</c:v>
                </c:pt>
                <c:pt idx="26">
                  <c:v>5.9543530277931129</c:v>
                </c:pt>
                <c:pt idx="27">
                  <c:v>4.7670749008367377</c:v>
                </c:pt>
                <c:pt idx="28">
                  <c:v>2.0429453786737706</c:v>
                </c:pt>
                <c:pt idx="29">
                  <c:v>-1.9756396454952252</c:v>
                </c:pt>
                <c:pt idx="30">
                  <c:v>3.9431969664527777</c:v>
                </c:pt>
                <c:pt idx="31">
                  <c:v>3.6593793607548726</c:v>
                </c:pt>
                <c:pt idx="32">
                  <c:v>4.1943114290659391</c:v>
                </c:pt>
                <c:pt idx="33">
                  <c:v>3.855666297526767</c:v>
                </c:pt>
                <c:pt idx="34">
                  <c:v>4.3090630127897409</c:v>
                </c:pt>
                <c:pt idx="35">
                  <c:v>3.9010455415405496</c:v>
                </c:pt>
                <c:pt idx="36">
                  <c:v>2.787100300628595</c:v>
                </c:pt>
                <c:pt idx="37">
                  <c:v>4.2924982318438127</c:v>
                </c:pt>
                <c:pt idx="38">
                  <c:v>5.3252838808694714</c:v>
                </c:pt>
                <c:pt idx="39">
                  <c:v>4.2771040592549561</c:v>
                </c:pt>
                <c:pt idx="40">
                  <c:v>-0.76462395543175821</c:v>
                </c:pt>
                <c:pt idx="41">
                  <c:v>10.995401234134723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FD-4814-B80D-C573284315C8}"/>
            </c:ext>
          </c:extLst>
        </c:ser>
        <c:ser>
          <c:idx val="1"/>
          <c:order val="1"/>
          <c:tx>
            <c:v>Predicted GDP Growth Rate</c:v>
          </c:tx>
          <c:spPr>
            <a:ln w="19050">
              <a:noFill/>
            </a:ln>
          </c:spPr>
          <c:xVal>
            <c:numRef>
              <c:f>'Master Dataset'!$L$2:$L$43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xVal>
          <c:yVal>
            <c:numRef>
              <c:f>'Result 1'!$B$27:$B$68</c:f>
              <c:numCache>
                <c:formatCode>General</c:formatCode>
                <c:ptCount val="42"/>
                <c:pt idx="0">
                  <c:v>4.9602055230607718</c:v>
                </c:pt>
                <c:pt idx="1">
                  <c:v>4.9747439767509771</c:v>
                </c:pt>
                <c:pt idx="2">
                  <c:v>4.7019806124759667</c:v>
                </c:pt>
                <c:pt idx="3">
                  <c:v>4.9265692940248602</c:v>
                </c:pt>
                <c:pt idx="4">
                  <c:v>5.3490230710688831</c:v>
                </c:pt>
                <c:pt idx="5">
                  <c:v>5.5525663761838233</c:v>
                </c:pt>
                <c:pt idx="6">
                  <c:v>6.2752040277249446</c:v>
                </c:pt>
                <c:pt idx="7">
                  <c:v>5.9017076582388563</c:v>
                </c:pt>
                <c:pt idx="8">
                  <c:v>5.656966915505202</c:v>
                </c:pt>
                <c:pt idx="9">
                  <c:v>4.9594624202248339</c:v>
                </c:pt>
                <c:pt idx="10">
                  <c:v>4.4389830897465652</c:v>
                </c:pt>
                <c:pt idx="11">
                  <c:v>3.8321272605662831</c:v>
                </c:pt>
                <c:pt idx="12">
                  <c:v>4.8141826754645223</c:v>
                </c:pt>
                <c:pt idx="13">
                  <c:v>5.359619351629731</c:v>
                </c:pt>
                <c:pt idx="14">
                  <c:v>5.4227801911862938</c:v>
                </c:pt>
                <c:pt idx="15">
                  <c:v>5.999849174514523</c:v>
                </c:pt>
                <c:pt idx="16">
                  <c:v>6.2422787923536536</c:v>
                </c:pt>
                <c:pt idx="17">
                  <c:v>6.4017401480429177</c:v>
                </c:pt>
                <c:pt idx="18">
                  <c:v>6.9157267383729097</c:v>
                </c:pt>
                <c:pt idx="19">
                  <c:v>7.0484669596861949</c:v>
                </c:pt>
                <c:pt idx="20">
                  <c:v>7.0038692194891787</c:v>
                </c:pt>
                <c:pt idx="21">
                  <c:v>6.1426270991686476</c:v>
                </c:pt>
                <c:pt idx="22">
                  <c:v>5.4261693037192229</c:v>
                </c:pt>
                <c:pt idx="23">
                  <c:v>5.7518504720216956</c:v>
                </c:pt>
                <c:pt idx="24">
                  <c:v>5.8674387804954877</c:v>
                </c:pt>
                <c:pt idx="25">
                  <c:v>5.6635669141398717</c:v>
                </c:pt>
                <c:pt idx="26">
                  <c:v>5.5278130010507551</c:v>
                </c:pt>
                <c:pt idx="27">
                  <c:v>5.6178798688719489</c:v>
                </c:pt>
                <c:pt idx="28">
                  <c:v>5.2576740611652824</c:v>
                </c:pt>
                <c:pt idx="29">
                  <c:v>4.2135796686433684</c:v>
                </c:pt>
                <c:pt idx="30">
                  <c:v>4.0794974309881882</c:v>
                </c:pt>
                <c:pt idx="31">
                  <c:v>4.0297402364548773</c:v>
                </c:pt>
                <c:pt idx="32">
                  <c:v>4.1315196075857203</c:v>
                </c:pt>
                <c:pt idx="33">
                  <c:v>4.2631152348194821</c:v>
                </c:pt>
                <c:pt idx="34">
                  <c:v>4.419476006154575</c:v>
                </c:pt>
                <c:pt idx="35">
                  <c:v>4.3967986076509069</c:v>
                </c:pt>
                <c:pt idx="36">
                  <c:v>4.2440577642825268</c:v>
                </c:pt>
                <c:pt idx="37">
                  <c:v>4.3631993998609691</c:v>
                </c:pt>
                <c:pt idx="38">
                  <c:v>4.6743012831192354</c:v>
                </c:pt>
                <c:pt idx="39">
                  <c:v>4.8603133464528288</c:v>
                </c:pt>
                <c:pt idx="40">
                  <c:v>4.266692710653003</c:v>
                </c:pt>
                <c:pt idx="41">
                  <c:v>4.6496247614075097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FD-4814-B80D-C57328431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831311"/>
        <c:axId val="1033655007"/>
      </c:scatterChart>
      <c:valAx>
        <c:axId val="1219831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Unemployment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3655007"/>
        <c:crosses val="autoZero"/>
        <c:crossBetween val="midCat"/>
      </c:valAx>
      <c:valAx>
        <c:axId val="1033655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GDP Growth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98313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Immigration Lag1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Growth Rate</c:v>
          </c:tx>
          <c:spPr>
            <a:ln w="19050">
              <a:noFill/>
            </a:ln>
          </c:spPr>
          <c:xVal>
            <c:numRef>
              <c:f>'Master Dataset'!$M$2:$M$43</c:f>
              <c:numCache>
                <c:formatCode>General</c:formatCode>
                <c:ptCount val="42"/>
                <c:pt idx="0">
                  <c:v>0</c:v>
                </c:pt>
                <c:pt idx="1">
                  <c:v>-5813</c:v>
                </c:pt>
                <c:pt idx="2">
                  <c:v>-86988</c:v>
                </c:pt>
                <c:pt idx="3">
                  <c:v>-196068</c:v>
                </c:pt>
                <c:pt idx="4">
                  <c:v>-339541</c:v>
                </c:pt>
                <c:pt idx="5">
                  <c:v>-316325</c:v>
                </c:pt>
                <c:pt idx="6">
                  <c:v>-428548</c:v>
                </c:pt>
                <c:pt idx="7">
                  <c:v>-948739</c:v>
                </c:pt>
                <c:pt idx="8">
                  <c:v>-451122</c:v>
                </c:pt>
                <c:pt idx="9">
                  <c:v>-219790</c:v>
                </c:pt>
                <c:pt idx="10">
                  <c:v>331925</c:v>
                </c:pt>
                <c:pt idx="11">
                  <c:v>605366</c:v>
                </c:pt>
                <c:pt idx="12">
                  <c:v>845690</c:v>
                </c:pt>
                <c:pt idx="13">
                  <c:v>-60507</c:v>
                </c:pt>
                <c:pt idx="14">
                  <c:v>-267855</c:v>
                </c:pt>
                <c:pt idx="15">
                  <c:v>-159108</c:v>
                </c:pt>
                <c:pt idx="16">
                  <c:v>-545538</c:v>
                </c:pt>
                <c:pt idx="17">
                  <c:v>-652127</c:v>
                </c:pt>
                <c:pt idx="18">
                  <c:v>-687616</c:v>
                </c:pt>
                <c:pt idx="19">
                  <c:v>-1015022</c:v>
                </c:pt>
                <c:pt idx="20">
                  <c:v>-1027905</c:v>
                </c:pt>
                <c:pt idx="21">
                  <c:v>-951176</c:v>
                </c:pt>
                <c:pt idx="22">
                  <c:v>-410575</c:v>
                </c:pt>
                <c:pt idx="23">
                  <c:v>-91143</c:v>
                </c:pt>
                <c:pt idx="24">
                  <c:v>-424564</c:v>
                </c:pt>
                <c:pt idx="25">
                  <c:v>-396518</c:v>
                </c:pt>
                <c:pt idx="26">
                  <c:v>-167356</c:v>
                </c:pt>
                <c:pt idx="27">
                  <c:v>-17132</c:v>
                </c:pt>
                <c:pt idx="28">
                  <c:v>-110139</c:v>
                </c:pt>
                <c:pt idx="29">
                  <c:v>-3825</c:v>
                </c:pt>
                <c:pt idx="30">
                  <c:v>243114</c:v>
                </c:pt>
                <c:pt idx="31">
                  <c:v>261671</c:v>
                </c:pt>
                <c:pt idx="32">
                  <c:v>405965</c:v>
                </c:pt>
                <c:pt idx="33">
                  <c:v>443126</c:v>
                </c:pt>
                <c:pt idx="34">
                  <c:v>449288</c:v>
                </c:pt>
                <c:pt idx="35">
                  <c:v>517631</c:v>
                </c:pt>
                <c:pt idx="36">
                  <c:v>667012</c:v>
                </c:pt>
                <c:pt idx="37">
                  <c:v>829752</c:v>
                </c:pt>
                <c:pt idx="38">
                  <c:v>796106</c:v>
                </c:pt>
                <c:pt idx="39">
                  <c:v>631502</c:v>
                </c:pt>
                <c:pt idx="40">
                  <c:v>543373</c:v>
                </c:pt>
                <c:pt idx="41">
                  <c:v>313888</c:v>
                </c:pt>
              </c:numCache>
            </c:numRef>
          </c:xVal>
          <c:yVal>
            <c:numRef>
              <c:f>'Master Dataset'!$E$2:$E$43</c:f>
              <c:numCache>
                <c:formatCode>0.00</c:formatCode>
                <c:ptCount val="42"/>
                <c:pt idx="1">
                  <c:v>12.238826864522444</c:v>
                </c:pt>
                <c:pt idx="2">
                  <c:v>4.2656688493919601</c:v>
                </c:pt>
                <c:pt idx="3">
                  <c:v>8.6787487289909624</c:v>
                </c:pt>
                <c:pt idx="4">
                  <c:v>11.106219042377543</c:v>
                </c:pt>
                <c:pt idx="5">
                  <c:v>7.4648305924311504</c:v>
                </c:pt>
                <c:pt idx="6">
                  <c:v>5.5450564646231939</c:v>
                </c:pt>
                <c:pt idx="7">
                  <c:v>6.0179928378024155</c:v>
                </c:pt>
                <c:pt idx="8">
                  <c:v>7.8513758444554256</c:v>
                </c:pt>
                <c:pt idx="9">
                  <c:v>7.7381407073562132</c:v>
                </c:pt>
                <c:pt idx="10">
                  <c:v>5.698737946681792</c:v>
                </c:pt>
                <c:pt idx="11">
                  <c:v>3.2701111837802483</c:v>
                </c:pt>
                <c:pt idx="12">
                  <c:v>5.8816842857374807</c:v>
                </c:pt>
                <c:pt idx="13">
                  <c:v>5.1884115761544738</c:v>
                </c:pt>
                <c:pt idx="14">
                  <c:v>6.249088735310405</c:v>
                </c:pt>
                <c:pt idx="15">
                  <c:v>4.8372488747392683</c:v>
                </c:pt>
                <c:pt idx="16">
                  <c:v>5.6729976307970285</c:v>
                </c:pt>
                <c:pt idx="17">
                  <c:v>6.2491484064361895</c:v>
                </c:pt>
                <c:pt idx="18">
                  <c:v>5.6565939190449415</c:v>
                </c:pt>
                <c:pt idx="19">
                  <c:v>6.2717923820453008</c:v>
                </c:pt>
                <c:pt idx="20">
                  <c:v>6.435335160727627</c:v>
                </c:pt>
                <c:pt idx="21">
                  <c:v>3.2279777582674827</c:v>
                </c:pt>
                <c:pt idx="22">
                  <c:v>3.2810742872263083</c:v>
                </c:pt>
                <c:pt idx="23">
                  <c:v>4.8256489555407089</c:v>
                </c:pt>
                <c:pt idx="24">
                  <c:v>6.6398987474359599</c:v>
                </c:pt>
                <c:pt idx="25">
                  <c:v>6.7282192319025631</c:v>
                </c:pt>
                <c:pt idx="26">
                  <c:v>5.9543530277931129</c:v>
                </c:pt>
                <c:pt idx="27">
                  <c:v>4.7670749008367377</c:v>
                </c:pt>
                <c:pt idx="28">
                  <c:v>2.0429453786737706</c:v>
                </c:pt>
                <c:pt idx="29">
                  <c:v>-1.9756396454952252</c:v>
                </c:pt>
                <c:pt idx="30">
                  <c:v>3.9431969664527777</c:v>
                </c:pt>
                <c:pt idx="31">
                  <c:v>3.6593793607548726</c:v>
                </c:pt>
                <c:pt idx="32">
                  <c:v>4.1943114290659391</c:v>
                </c:pt>
                <c:pt idx="33">
                  <c:v>3.855666297526767</c:v>
                </c:pt>
                <c:pt idx="34">
                  <c:v>4.3090630127897409</c:v>
                </c:pt>
                <c:pt idx="35">
                  <c:v>3.9010455415405496</c:v>
                </c:pt>
                <c:pt idx="36">
                  <c:v>2.787100300628595</c:v>
                </c:pt>
                <c:pt idx="37">
                  <c:v>4.2924982318438127</c:v>
                </c:pt>
                <c:pt idx="38">
                  <c:v>5.3252838808694714</c:v>
                </c:pt>
                <c:pt idx="39">
                  <c:v>4.2771040592549561</c:v>
                </c:pt>
                <c:pt idx="40">
                  <c:v>-0.76462395543175821</c:v>
                </c:pt>
                <c:pt idx="41">
                  <c:v>10.995401234134723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7-4D4F-9E37-3A2E36312FA3}"/>
            </c:ext>
          </c:extLst>
        </c:ser>
        <c:ser>
          <c:idx val="1"/>
          <c:order val="1"/>
          <c:tx>
            <c:v>Predicted GDP Growth Rate</c:v>
          </c:tx>
          <c:spPr>
            <a:ln w="19050">
              <a:noFill/>
            </a:ln>
          </c:spPr>
          <c:xVal>
            <c:numRef>
              <c:f>'Master Dataset'!$M$2:$M$43</c:f>
              <c:numCache>
                <c:formatCode>General</c:formatCode>
                <c:ptCount val="42"/>
                <c:pt idx="0">
                  <c:v>0</c:v>
                </c:pt>
                <c:pt idx="1">
                  <c:v>-5813</c:v>
                </c:pt>
                <c:pt idx="2">
                  <c:v>-86988</c:v>
                </c:pt>
                <c:pt idx="3">
                  <c:v>-196068</c:v>
                </c:pt>
                <c:pt idx="4">
                  <c:v>-339541</c:v>
                </c:pt>
                <c:pt idx="5">
                  <c:v>-316325</c:v>
                </c:pt>
                <c:pt idx="6">
                  <c:v>-428548</c:v>
                </c:pt>
                <c:pt idx="7">
                  <c:v>-948739</c:v>
                </c:pt>
                <c:pt idx="8">
                  <c:v>-451122</c:v>
                </c:pt>
                <c:pt idx="9">
                  <c:v>-219790</c:v>
                </c:pt>
                <c:pt idx="10">
                  <c:v>331925</c:v>
                </c:pt>
                <c:pt idx="11">
                  <c:v>605366</c:v>
                </c:pt>
                <c:pt idx="12">
                  <c:v>845690</c:v>
                </c:pt>
                <c:pt idx="13">
                  <c:v>-60507</c:v>
                </c:pt>
                <c:pt idx="14">
                  <c:v>-267855</c:v>
                </c:pt>
                <c:pt idx="15">
                  <c:v>-159108</c:v>
                </c:pt>
                <c:pt idx="16">
                  <c:v>-545538</c:v>
                </c:pt>
                <c:pt idx="17">
                  <c:v>-652127</c:v>
                </c:pt>
                <c:pt idx="18">
                  <c:v>-687616</c:v>
                </c:pt>
                <c:pt idx="19">
                  <c:v>-1015022</c:v>
                </c:pt>
                <c:pt idx="20">
                  <c:v>-1027905</c:v>
                </c:pt>
                <c:pt idx="21">
                  <c:v>-951176</c:v>
                </c:pt>
                <c:pt idx="22">
                  <c:v>-410575</c:v>
                </c:pt>
                <c:pt idx="23">
                  <c:v>-91143</c:v>
                </c:pt>
                <c:pt idx="24">
                  <c:v>-424564</c:v>
                </c:pt>
                <c:pt idx="25">
                  <c:v>-396518</c:v>
                </c:pt>
                <c:pt idx="26">
                  <c:v>-167356</c:v>
                </c:pt>
                <c:pt idx="27">
                  <c:v>-17132</c:v>
                </c:pt>
                <c:pt idx="28">
                  <c:v>-110139</c:v>
                </c:pt>
                <c:pt idx="29">
                  <c:v>-3825</c:v>
                </c:pt>
                <c:pt idx="30">
                  <c:v>243114</c:v>
                </c:pt>
                <c:pt idx="31">
                  <c:v>261671</c:v>
                </c:pt>
                <c:pt idx="32">
                  <c:v>405965</c:v>
                </c:pt>
                <c:pt idx="33">
                  <c:v>443126</c:v>
                </c:pt>
                <c:pt idx="34">
                  <c:v>449288</c:v>
                </c:pt>
                <c:pt idx="35">
                  <c:v>517631</c:v>
                </c:pt>
                <c:pt idx="36">
                  <c:v>667012</c:v>
                </c:pt>
                <c:pt idx="37">
                  <c:v>829752</c:v>
                </c:pt>
                <c:pt idx="38">
                  <c:v>796106</c:v>
                </c:pt>
                <c:pt idx="39">
                  <c:v>631502</c:v>
                </c:pt>
                <c:pt idx="40">
                  <c:v>543373</c:v>
                </c:pt>
                <c:pt idx="41">
                  <c:v>313888</c:v>
                </c:pt>
              </c:numCache>
            </c:numRef>
          </c:xVal>
          <c:yVal>
            <c:numRef>
              <c:f>'Result 1'!$B$27:$B$68</c:f>
              <c:numCache>
                <c:formatCode>General</c:formatCode>
                <c:ptCount val="42"/>
                <c:pt idx="0">
                  <c:v>4.9602055230607718</c:v>
                </c:pt>
                <c:pt idx="1">
                  <c:v>4.9747439767509771</c:v>
                </c:pt>
                <c:pt idx="2">
                  <c:v>4.7019806124759667</c:v>
                </c:pt>
                <c:pt idx="3">
                  <c:v>4.9265692940248602</c:v>
                </c:pt>
                <c:pt idx="4">
                  <c:v>5.3490230710688831</c:v>
                </c:pt>
                <c:pt idx="5">
                  <c:v>5.5525663761838233</c:v>
                </c:pt>
                <c:pt idx="6">
                  <c:v>6.2752040277249446</c:v>
                </c:pt>
                <c:pt idx="7">
                  <c:v>5.9017076582388563</c:v>
                </c:pt>
                <c:pt idx="8">
                  <c:v>5.656966915505202</c:v>
                </c:pt>
                <c:pt idx="9">
                  <c:v>4.9594624202248339</c:v>
                </c:pt>
                <c:pt idx="10">
                  <c:v>4.4389830897465652</c:v>
                </c:pt>
                <c:pt idx="11">
                  <c:v>3.8321272605662831</c:v>
                </c:pt>
                <c:pt idx="12">
                  <c:v>4.8141826754645223</c:v>
                </c:pt>
                <c:pt idx="13">
                  <c:v>5.359619351629731</c:v>
                </c:pt>
                <c:pt idx="14">
                  <c:v>5.4227801911862938</c:v>
                </c:pt>
                <c:pt idx="15">
                  <c:v>5.999849174514523</c:v>
                </c:pt>
                <c:pt idx="16">
                  <c:v>6.2422787923536536</c:v>
                </c:pt>
                <c:pt idx="17">
                  <c:v>6.4017401480429177</c:v>
                </c:pt>
                <c:pt idx="18">
                  <c:v>6.9157267383729097</c:v>
                </c:pt>
                <c:pt idx="19">
                  <c:v>7.0484669596861949</c:v>
                </c:pt>
                <c:pt idx="20">
                  <c:v>7.0038692194891787</c:v>
                </c:pt>
                <c:pt idx="21">
                  <c:v>6.1426270991686476</c:v>
                </c:pt>
                <c:pt idx="22">
                  <c:v>5.4261693037192229</c:v>
                </c:pt>
                <c:pt idx="23">
                  <c:v>5.7518504720216956</c:v>
                </c:pt>
                <c:pt idx="24">
                  <c:v>5.8674387804954877</c:v>
                </c:pt>
                <c:pt idx="25">
                  <c:v>5.6635669141398717</c:v>
                </c:pt>
                <c:pt idx="26">
                  <c:v>5.5278130010507551</c:v>
                </c:pt>
                <c:pt idx="27">
                  <c:v>5.6178798688719489</c:v>
                </c:pt>
                <c:pt idx="28">
                  <c:v>5.2576740611652824</c:v>
                </c:pt>
                <c:pt idx="29">
                  <c:v>4.2135796686433684</c:v>
                </c:pt>
                <c:pt idx="30">
                  <c:v>4.0794974309881882</c:v>
                </c:pt>
                <c:pt idx="31">
                  <c:v>4.0297402364548773</c:v>
                </c:pt>
                <c:pt idx="32">
                  <c:v>4.1315196075857203</c:v>
                </c:pt>
                <c:pt idx="33">
                  <c:v>4.2631152348194821</c:v>
                </c:pt>
                <c:pt idx="34">
                  <c:v>4.419476006154575</c:v>
                </c:pt>
                <c:pt idx="35">
                  <c:v>4.3967986076509069</c:v>
                </c:pt>
                <c:pt idx="36">
                  <c:v>4.2440577642825268</c:v>
                </c:pt>
                <c:pt idx="37">
                  <c:v>4.3631993998609691</c:v>
                </c:pt>
                <c:pt idx="38">
                  <c:v>4.6743012831192354</c:v>
                </c:pt>
                <c:pt idx="39">
                  <c:v>4.8603133464528288</c:v>
                </c:pt>
                <c:pt idx="40">
                  <c:v>4.266692710653003</c:v>
                </c:pt>
                <c:pt idx="41">
                  <c:v>4.6496247614075097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C7-4D4F-9E37-3A2E36312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831311"/>
        <c:axId val="1033658367"/>
      </c:scatterChart>
      <c:valAx>
        <c:axId val="1219831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Immigration Lag1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3658367"/>
        <c:crosses val="autoZero"/>
        <c:crossBetween val="midCat"/>
      </c:valAx>
      <c:valAx>
        <c:axId val="1033658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GDP Growth Rate</a:t>
                </a:r>
              </a:p>
            </c:rich>
          </c:tx>
          <c:layout>
            <c:manualLayout>
              <c:xMode val="edge"/>
              <c:yMode val="edge"/>
              <c:x val="2.4192510336243239E-2"/>
              <c:y val="0.203778095991679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198313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GDP Growth Rate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'Master Dataset'!$P$2:$P$43</c:f>
              <c:numCache>
                <c:formatCode>General</c:formatCode>
                <c:ptCount val="42"/>
                <c:pt idx="0">
                  <c:v>0</c:v>
                </c:pt>
                <c:pt idx="1">
                  <c:v>12.238826864522444</c:v>
                </c:pt>
                <c:pt idx="2">
                  <c:v>4.2656688493919601</c:v>
                </c:pt>
                <c:pt idx="3">
                  <c:v>8.6787487289909624</c:v>
                </c:pt>
                <c:pt idx="4">
                  <c:v>11.106219042377543</c:v>
                </c:pt>
                <c:pt idx="5">
                  <c:v>7.4648305924311504</c:v>
                </c:pt>
                <c:pt idx="6">
                  <c:v>5.5450564646231939</c:v>
                </c:pt>
                <c:pt idx="7">
                  <c:v>6.0179928378024155</c:v>
                </c:pt>
                <c:pt idx="8">
                  <c:v>7.8513758444554256</c:v>
                </c:pt>
                <c:pt idx="9">
                  <c:v>7.7381407073562132</c:v>
                </c:pt>
                <c:pt idx="10">
                  <c:v>5.698737946681792</c:v>
                </c:pt>
                <c:pt idx="11">
                  <c:v>3.2701111837802483</c:v>
                </c:pt>
                <c:pt idx="12">
                  <c:v>5.8816842857374807</c:v>
                </c:pt>
                <c:pt idx="13">
                  <c:v>5.1884115761544738</c:v>
                </c:pt>
                <c:pt idx="14">
                  <c:v>6.249088735310405</c:v>
                </c:pt>
                <c:pt idx="15">
                  <c:v>4.8372488747392683</c:v>
                </c:pt>
                <c:pt idx="16">
                  <c:v>5.6729976307970285</c:v>
                </c:pt>
                <c:pt idx="17">
                  <c:v>6.2491484064361895</c:v>
                </c:pt>
                <c:pt idx="18">
                  <c:v>5.6565939190449415</c:v>
                </c:pt>
                <c:pt idx="19">
                  <c:v>6.2717923820453008</c:v>
                </c:pt>
                <c:pt idx="20">
                  <c:v>6.435335160727627</c:v>
                </c:pt>
                <c:pt idx="21">
                  <c:v>3.2279777582674827</c:v>
                </c:pt>
                <c:pt idx="22">
                  <c:v>3.2810742872263083</c:v>
                </c:pt>
                <c:pt idx="23">
                  <c:v>4.8256489555407089</c:v>
                </c:pt>
                <c:pt idx="24">
                  <c:v>6.6398987474359599</c:v>
                </c:pt>
                <c:pt idx="25">
                  <c:v>6.7282192319025631</c:v>
                </c:pt>
                <c:pt idx="26">
                  <c:v>5.9543530277931129</c:v>
                </c:pt>
                <c:pt idx="27">
                  <c:v>4.7670749008367377</c:v>
                </c:pt>
                <c:pt idx="28">
                  <c:v>2.0429453786737706</c:v>
                </c:pt>
                <c:pt idx="29">
                  <c:v>-1.9756396454952252</c:v>
                </c:pt>
                <c:pt idx="30">
                  <c:v>3.9431969664527777</c:v>
                </c:pt>
                <c:pt idx="31">
                  <c:v>3.6593793607548726</c:v>
                </c:pt>
                <c:pt idx="32">
                  <c:v>4.1943114290659391</c:v>
                </c:pt>
                <c:pt idx="33">
                  <c:v>3.855666297526767</c:v>
                </c:pt>
                <c:pt idx="34">
                  <c:v>4.3090630127897409</c:v>
                </c:pt>
                <c:pt idx="35">
                  <c:v>3.9010455415405496</c:v>
                </c:pt>
                <c:pt idx="36">
                  <c:v>2.787100300628595</c:v>
                </c:pt>
                <c:pt idx="37">
                  <c:v>4.2924982318438127</c:v>
                </c:pt>
                <c:pt idx="38">
                  <c:v>5.3252838808694714</c:v>
                </c:pt>
                <c:pt idx="39">
                  <c:v>4.2771040592549561</c:v>
                </c:pt>
                <c:pt idx="40">
                  <c:v>-0.76462395543175821</c:v>
                </c:pt>
                <c:pt idx="41">
                  <c:v>10.995401234134723</c:v>
                </c:pt>
              </c:numCache>
            </c:numRef>
          </c:xVal>
          <c:yVal>
            <c:numRef>
              <c:f>'Result 2'!$C$28:$C$69</c:f>
              <c:numCache>
                <c:formatCode>General</c:formatCode>
                <c:ptCount val="42"/>
                <c:pt idx="0">
                  <c:v>6.2315280305082155</c:v>
                </c:pt>
                <c:pt idx="1">
                  <c:v>22.028964139081509</c:v>
                </c:pt>
                <c:pt idx="2">
                  <c:v>39.898001499836155</c:v>
                </c:pt>
                <c:pt idx="3">
                  <c:v>42.791146256063101</c:v>
                </c:pt>
                <c:pt idx="4">
                  <c:v>22.237953704494046</c:v>
                </c:pt>
                <c:pt idx="5">
                  <c:v>13.631629575562116</c:v>
                </c:pt>
                <c:pt idx="6">
                  <c:v>5.9741939156949542</c:v>
                </c:pt>
                <c:pt idx="7">
                  <c:v>9.0737671514812774</c:v>
                </c:pt>
                <c:pt idx="8">
                  <c:v>-2.3554746584809578</c:v>
                </c:pt>
                <c:pt idx="9">
                  <c:v>-3.0784961595293154</c:v>
                </c:pt>
                <c:pt idx="10">
                  <c:v>-5.9243724993635709</c:v>
                </c:pt>
                <c:pt idx="11">
                  <c:v>5.0864227989962814</c:v>
                </c:pt>
                <c:pt idx="12">
                  <c:v>2.5802429759017826</c:v>
                </c:pt>
                <c:pt idx="13">
                  <c:v>6.0380324293808059</c:v>
                </c:pt>
                <c:pt idx="14">
                  <c:v>1.4193131255361067</c:v>
                </c:pt>
                <c:pt idx="15">
                  <c:v>-11.441084601099107</c:v>
                </c:pt>
                <c:pt idx="16">
                  <c:v>-8.3261659073526175</c:v>
                </c:pt>
                <c:pt idx="17">
                  <c:v>-12.204242032889937</c:v>
                </c:pt>
                <c:pt idx="18">
                  <c:v>-20.822316997665467</c:v>
                </c:pt>
                <c:pt idx="19">
                  <c:v>-19.026296317669456</c:v>
                </c:pt>
                <c:pt idx="20">
                  <c:v>-20.91776645658738</c:v>
                </c:pt>
                <c:pt idx="21">
                  <c:v>-10.243037798551974</c:v>
                </c:pt>
                <c:pt idx="22">
                  <c:v>-2.3452764638745407</c:v>
                </c:pt>
                <c:pt idx="23">
                  <c:v>-6.4242464578211695</c:v>
                </c:pt>
                <c:pt idx="24">
                  <c:v>-5.0293207099956732</c:v>
                </c:pt>
                <c:pt idx="25">
                  <c:v>-8.5530025022113705</c:v>
                </c:pt>
                <c:pt idx="26">
                  <c:v>-16.785645135792834</c:v>
                </c:pt>
                <c:pt idx="27">
                  <c:v>-20.894202031050419</c:v>
                </c:pt>
                <c:pt idx="28">
                  <c:v>-6.7725360394979646</c:v>
                </c:pt>
                <c:pt idx="29">
                  <c:v>32.276333258860049</c:v>
                </c:pt>
                <c:pt idx="30">
                  <c:v>38.20223979583325</c:v>
                </c:pt>
                <c:pt idx="31">
                  <c:v>31.022179142020548</c:v>
                </c:pt>
                <c:pt idx="32">
                  <c:v>19.488143448025212</c:v>
                </c:pt>
                <c:pt idx="33">
                  <c:v>10.09898897002779</c:v>
                </c:pt>
                <c:pt idx="34">
                  <c:v>-3.2877791486380374</c:v>
                </c:pt>
                <c:pt idx="35">
                  <c:v>-13.754641845129129</c:v>
                </c:pt>
                <c:pt idx="36">
                  <c:v>-20.113348253810074</c:v>
                </c:pt>
                <c:pt idx="37">
                  <c:v>-27.636876001180013</c:v>
                </c:pt>
                <c:pt idx="38">
                  <c:v>-33.454359777373369</c:v>
                </c:pt>
                <c:pt idx="39">
                  <c:v>-35.508107569406057</c:v>
                </c:pt>
                <c:pt idx="40">
                  <c:v>11.941450726948588</c:v>
                </c:pt>
                <c:pt idx="41">
                  <c:v>-5.1219355792822512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C-4068-8ACC-59E0428B3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655007"/>
        <c:axId val="1033656447"/>
      </c:scatterChart>
      <c:valAx>
        <c:axId val="1033655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GDP Growth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3656447"/>
        <c:crosses val="autoZero"/>
        <c:crossBetween val="midCat"/>
      </c:valAx>
      <c:valAx>
        <c:axId val="1033656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36550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Net Immigration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'Master Dataset'!$Q$2:$Q$43</c:f>
              <c:numCache>
                <c:formatCode>General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xVal>
          <c:yVal>
            <c:numRef>
              <c:f>'Result 2'!$C$28:$C$69</c:f>
              <c:numCache>
                <c:formatCode>General</c:formatCode>
                <c:ptCount val="42"/>
                <c:pt idx="0">
                  <c:v>6.2315280305082155</c:v>
                </c:pt>
                <c:pt idx="1">
                  <c:v>22.028964139081509</c:v>
                </c:pt>
                <c:pt idx="2">
                  <c:v>39.898001499836155</c:v>
                </c:pt>
                <c:pt idx="3">
                  <c:v>42.791146256063101</c:v>
                </c:pt>
                <c:pt idx="4">
                  <c:v>22.237953704494046</c:v>
                </c:pt>
                <c:pt idx="5">
                  <c:v>13.631629575562116</c:v>
                </c:pt>
                <c:pt idx="6">
                  <c:v>5.9741939156949542</c:v>
                </c:pt>
                <c:pt idx="7">
                  <c:v>9.0737671514812774</c:v>
                </c:pt>
                <c:pt idx="8">
                  <c:v>-2.3554746584809578</c:v>
                </c:pt>
                <c:pt idx="9">
                  <c:v>-3.0784961595293154</c:v>
                </c:pt>
                <c:pt idx="10">
                  <c:v>-5.9243724993635709</c:v>
                </c:pt>
                <c:pt idx="11">
                  <c:v>5.0864227989962814</c:v>
                </c:pt>
                <c:pt idx="12">
                  <c:v>2.5802429759017826</c:v>
                </c:pt>
                <c:pt idx="13">
                  <c:v>6.0380324293808059</c:v>
                </c:pt>
                <c:pt idx="14">
                  <c:v>1.4193131255361067</c:v>
                </c:pt>
                <c:pt idx="15">
                  <c:v>-11.441084601099107</c:v>
                </c:pt>
                <c:pt idx="16">
                  <c:v>-8.3261659073526175</c:v>
                </c:pt>
                <c:pt idx="17">
                  <c:v>-12.204242032889937</c:v>
                </c:pt>
                <c:pt idx="18">
                  <c:v>-20.822316997665467</c:v>
                </c:pt>
                <c:pt idx="19">
                  <c:v>-19.026296317669456</c:v>
                </c:pt>
                <c:pt idx="20">
                  <c:v>-20.91776645658738</c:v>
                </c:pt>
                <c:pt idx="21">
                  <c:v>-10.243037798551974</c:v>
                </c:pt>
                <c:pt idx="22">
                  <c:v>-2.3452764638745407</c:v>
                </c:pt>
                <c:pt idx="23">
                  <c:v>-6.4242464578211695</c:v>
                </c:pt>
                <c:pt idx="24">
                  <c:v>-5.0293207099956732</c:v>
                </c:pt>
                <c:pt idx="25">
                  <c:v>-8.5530025022113705</c:v>
                </c:pt>
                <c:pt idx="26">
                  <c:v>-16.785645135792834</c:v>
                </c:pt>
                <c:pt idx="27">
                  <c:v>-20.894202031050419</c:v>
                </c:pt>
                <c:pt idx="28">
                  <c:v>-6.7725360394979646</c:v>
                </c:pt>
                <c:pt idx="29">
                  <c:v>32.276333258860049</c:v>
                </c:pt>
                <c:pt idx="30">
                  <c:v>38.20223979583325</c:v>
                </c:pt>
                <c:pt idx="31">
                  <c:v>31.022179142020548</c:v>
                </c:pt>
                <c:pt idx="32">
                  <c:v>19.488143448025212</c:v>
                </c:pt>
                <c:pt idx="33">
                  <c:v>10.09898897002779</c:v>
                </c:pt>
                <c:pt idx="34">
                  <c:v>-3.2877791486380374</c:v>
                </c:pt>
                <c:pt idx="35">
                  <c:v>-13.754641845129129</c:v>
                </c:pt>
                <c:pt idx="36">
                  <c:v>-20.113348253810074</c:v>
                </c:pt>
                <c:pt idx="37">
                  <c:v>-27.636876001180013</c:v>
                </c:pt>
                <c:pt idx="38">
                  <c:v>-33.454359777373369</c:v>
                </c:pt>
                <c:pt idx="39">
                  <c:v>-35.508107569406057</c:v>
                </c:pt>
                <c:pt idx="40">
                  <c:v>11.941450726948588</c:v>
                </c:pt>
                <c:pt idx="41">
                  <c:v>-5.1219355792822512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3-4F5C-BD2D-E02963952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888159"/>
        <c:axId val="1219891999"/>
      </c:scatterChart>
      <c:valAx>
        <c:axId val="1219888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Immigration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9891999"/>
        <c:crosses val="autoZero"/>
        <c:crossBetween val="midCat"/>
      </c:valAx>
      <c:valAx>
        <c:axId val="1219891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988815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Immigration Lag1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'Master Dataset'!$R$2:$R$43</c:f>
              <c:numCache>
                <c:formatCode>General</c:formatCode>
                <c:ptCount val="42"/>
                <c:pt idx="0">
                  <c:v>0</c:v>
                </c:pt>
                <c:pt idx="1">
                  <c:v>-5813</c:v>
                </c:pt>
                <c:pt idx="2">
                  <c:v>-86988</c:v>
                </c:pt>
                <c:pt idx="3">
                  <c:v>-196068</c:v>
                </c:pt>
                <c:pt idx="4">
                  <c:v>-339541</c:v>
                </c:pt>
                <c:pt idx="5">
                  <c:v>-316325</c:v>
                </c:pt>
                <c:pt idx="6">
                  <c:v>-428548</c:v>
                </c:pt>
                <c:pt idx="7">
                  <c:v>-948739</c:v>
                </c:pt>
                <c:pt idx="8">
                  <c:v>-451122</c:v>
                </c:pt>
                <c:pt idx="9">
                  <c:v>-219790</c:v>
                </c:pt>
                <c:pt idx="10">
                  <c:v>331925</c:v>
                </c:pt>
                <c:pt idx="11">
                  <c:v>605366</c:v>
                </c:pt>
                <c:pt idx="12">
                  <c:v>845690</c:v>
                </c:pt>
                <c:pt idx="13">
                  <c:v>-60507</c:v>
                </c:pt>
                <c:pt idx="14">
                  <c:v>-267855</c:v>
                </c:pt>
                <c:pt idx="15">
                  <c:v>-159108</c:v>
                </c:pt>
                <c:pt idx="16">
                  <c:v>-545538</c:v>
                </c:pt>
                <c:pt idx="17">
                  <c:v>-652127</c:v>
                </c:pt>
                <c:pt idx="18">
                  <c:v>-687616</c:v>
                </c:pt>
                <c:pt idx="19">
                  <c:v>-1015022</c:v>
                </c:pt>
                <c:pt idx="20">
                  <c:v>-1027905</c:v>
                </c:pt>
                <c:pt idx="21">
                  <c:v>-951176</c:v>
                </c:pt>
                <c:pt idx="22">
                  <c:v>-410575</c:v>
                </c:pt>
                <c:pt idx="23">
                  <c:v>-91143</c:v>
                </c:pt>
                <c:pt idx="24">
                  <c:v>-424564</c:v>
                </c:pt>
                <c:pt idx="25">
                  <c:v>-396518</c:v>
                </c:pt>
                <c:pt idx="26">
                  <c:v>-167356</c:v>
                </c:pt>
                <c:pt idx="27">
                  <c:v>-17132</c:v>
                </c:pt>
                <c:pt idx="28">
                  <c:v>-110139</c:v>
                </c:pt>
                <c:pt idx="29">
                  <c:v>-3825</c:v>
                </c:pt>
                <c:pt idx="30">
                  <c:v>243114</c:v>
                </c:pt>
                <c:pt idx="31">
                  <c:v>261671</c:v>
                </c:pt>
                <c:pt idx="32">
                  <c:v>405965</c:v>
                </c:pt>
                <c:pt idx="33">
                  <c:v>443126</c:v>
                </c:pt>
                <c:pt idx="34">
                  <c:v>449288</c:v>
                </c:pt>
                <c:pt idx="35">
                  <c:v>517631</c:v>
                </c:pt>
                <c:pt idx="36">
                  <c:v>667012</c:v>
                </c:pt>
                <c:pt idx="37">
                  <c:v>829752</c:v>
                </c:pt>
                <c:pt idx="38">
                  <c:v>796106</c:v>
                </c:pt>
                <c:pt idx="39">
                  <c:v>631502</c:v>
                </c:pt>
                <c:pt idx="40">
                  <c:v>543373</c:v>
                </c:pt>
                <c:pt idx="41">
                  <c:v>313888</c:v>
                </c:pt>
              </c:numCache>
            </c:numRef>
          </c:xVal>
          <c:yVal>
            <c:numRef>
              <c:f>'Result 2'!$C$28:$C$69</c:f>
              <c:numCache>
                <c:formatCode>General</c:formatCode>
                <c:ptCount val="42"/>
                <c:pt idx="0">
                  <c:v>6.2315280305082155</c:v>
                </c:pt>
                <c:pt idx="1">
                  <c:v>22.028964139081509</c:v>
                </c:pt>
                <c:pt idx="2">
                  <c:v>39.898001499836155</c:v>
                </c:pt>
                <c:pt idx="3">
                  <c:v>42.791146256063101</c:v>
                </c:pt>
                <c:pt idx="4">
                  <c:v>22.237953704494046</c:v>
                </c:pt>
                <c:pt idx="5">
                  <c:v>13.631629575562116</c:v>
                </c:pt>
                <c:pt idx="6">
                  <c:v>5.9741939156949542</c:v>
                </c:pt>
                <c:pt idx="7">
                  <c:v>9.0737671514812774</c:v>
                </c:pt>
                <c:pt idx="8">
                  <c:v>-2.3554746584809578</c:v>
                </c:pt>
                <c:pt idx="9">
                  <c:v>-3.0784961595293154</c:v>
                </c:pt>
                <c:pt idx="10">
                  <c:v>-5.9243724993635709</c:v>
                </c:pt>
                <c:pt idx="11">
                  <c:v>5.0864227989962814</c:v>
                </c:pt>
                <c:pt idx="12">
                  <c:v>2.5802429759017826</c:v>
                </c:pt>
                <c:pt idx="13">
                  <c:v>6.0380324293808059</c:v>
                </c:pt>
                <c:pt idx="14">
                  <c:v>1.4193131255361067</c:v>
                </c:pt>
                <c:pt idx="15">
                  <c:v>-11.441084601099107</c:v>
                </c:pt>
                <c:pt idx="16">
                  <c:v>-8.3261659073526175</c:v>
                </c:pt>
                <c:pt idx="17">
                  <c:v>-12.204242032889937</c:v>
                </c:pt>
                <c:pt idx="18">
                  <c:v>-20.822316997665467</c:v>
                </c:pt>
                <c:pt idx="19">
                  <c:v>-19.026296317669456</c:v>
                </c:pt>
                <c:pt idx="20">
                  <c:v>-20.91776645658738</c:v>
                </c:pt>
                <c:pt idx="21">
                  <c:v>-10.243037798551974</c:v>
                </c:pt>
                <c:pt idx="22">
                  <c:v>-2.3452764638745407</c:v>
                </c:pt>
                <c:pt idx="23">
                  <c:v>-6.4242464578211695</c:v>
                </c:pt>
                <c:pt idx="24">
                  <c:v>-5.0293207099956732</c:v>
                </c:pt>
                <c:pt idx="25">
                  <c:v>-8.5530025022113705</c:v>
                </c:pt>
                <c:pt idx="26">
                  <c:v>-16.785645135792834</c:v>
                </c:pt>
                <c:pt idx="27">
                  <c:v>-20.894202031050419</c:v>
                </c:pt>
                <c:pt idx="28">
                  <c:v>-6.7725360394979646</c:v>
                </c:pt>
                <c:pt idx="29">
                  <c:v>32.276333258860049</c:v>
                </c:pt>
                <c:pt idx="30">
                  <c:v>38.20223979583325</c:v>
                </c:pt>
                <c:pt idx="31">
                  <c:v>31.022179142020548</c:v>
                </c:pt>
                <c:pt idx="32">
                  <c:v>19.488143448025212</c:v>
                </c:pt>
                <c:pt idx="33">
                  <c:v>10.09898897002779</c:v>
                </c:pt>
                <c:pt idx="34">
                  <c:v>-3.2877791486380374</c:v>
                </c:pt>
                <c:pt idx="35">
                  <c:v>-13.754641845129129</c:v>
                </c:pt>
                <c:pt idx="36">
                  <c:v>-20.113348253810074</c:v>
                </c:pt>
                <c:pt idx="37">
                  <c:v>-27.636876001180013</c:v>
                </c:pt>
                <c:pt idx="38">
                  <c:v>-33.454359777373369</c:v>
                </c:pt>
                <c:pt idx="39">
                  <c:v>-35.508107569406057</c:v>
                </c:pt>
                <c:pt idx="40">
                  <c:v>11.941450726948588</c:v>
                </c:pt>
                <c:pt idx="41">
                  <c:v>-5.1219355792822512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E6-461F-B423-12F96C5F1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891519"/>
        <c:axId val="1219888159"/>
      </c:scatterChart>
      <c:valAx>
        <c:axId val="1219891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Immigration Lag1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9888159"/>
        <c:crosses val="autoZero"/>
        <c:crossBetween val="midCat"/>
      </c:valAx>
      <c:valAx>
        <c:axId val="12198881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989151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GDP Growth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Unemployment Rate</c:v>
          </c:tx>
          <c:spPr>
            <a:ln w="19050">
              <a:noFill/>
            </a:ln>
          </c:spPr>
          <c:xVal>
            <c:numRef>
              <c:f>'Master Dataset'!$P$2:$P$43</c:f>
              <c:numCache>
                <c:formatCode>General</c:formatCode>
                <c:ptCount val="42"/>
                <c:pt idx="0">
                  <c:v>0</c:v>
                </c:pt>
                <c:pt idx="1">
                  <c:v>12.238826864522444</c:v>
                </c:pt>
                <c:pt idx="2">
                  <c:v>4.2656688493919601</c:v>
                </c:pt>
                <c:pt idx="3">
                  <c:v>8.6787487289909624</c:v>
                </c:pt>
                <c:pt idx="4">
                  <c:v>11.106219042377543</c:v>
                </c:pt>
                <c:pt idx="5">
                  <c:v>7.4648305924311504</c:v>
                </c:pt>
                <c:pt idx="6">
                  <c:v>5.5450564646231939</c:v>
                </c:pt>
                <c:pt idx="7">
                  <c:v>6.0179928378024155</c:v>
                </c:pt>
                <c:pt idx="8">
                  <c:v>7.8513758444554256</c:v>
                </c:pt>
                <c:pt idx="9">
                  <c:v>7.7381407073562132</c:v>
                </c:pt>
                <c:pt idx="10">
                  <c:v>5.698737946681792</c:v>
                </c:pt>
                <c:pt idx="11">
                  <c:v>3.2701111837802483</c:v>
                </c:pt>
                <c:pt idx="12">
                  <c:v>5.8816842857374807</c:v>
                </c:pt>
                <c:pt idx="13">
                  <c:v>5.1884115761544738</c:v>
                </c:pt>
                <c:pt idx="14">
                  <c:v>6.249088735310405</c:v>
                </c:pt>
                <c:pt idx="15">
                  <c:v>4.8372488747392683</c:v>
                </c:pt>
                <c:pt idx="16">
                  <c:v>5.6729976307970285</c:v>
                </c:pt>
                <c:pt idx="17">
                  <c:v>6.2491484064361895</c:v>
                </c:pt>
                <c:pt idx="18">
                  <c:v>5.6565939190449415</c:v>
                </c:pt>
                <c:pt idx="19">
                  <c:v>6.2717923820453008</c:v>
                </c:pt>
                <c:pt idx="20">
                  <c:v>6.435335160727627</c:v>
                </c:pt>
                <c:pt idx="21">
                  <c:v>3.2279777582674827</c:v>
                </c:pt>
                <c:pt idx="22">
                  <c:v>3.2810742872263083</c:v>
                </c:pt>
                <c:pt idx="23">
                  <c:v>4.8256489555407089</c:v>
                </c:pt>
                <c:pt idx="24">
                  <c:v>6.6398987474359599</c:v>
                </c:pt>
                <c:pt idx="25">
                  <c:v>6.7282192319025631</c:v>
                </c:pt>
                <c:pt idx="26">
                  <c:v>5.9543530277931129</c:v>
                </c:pt>
                <c:pt idx="27">
                  <c:v>4.7670749008367377</c:v>
                </c:pt>
                <c:pt idx="28">
                  <c:v>2.0429453786737706</c:v>
                </c:pt>
                <c:pt idx="29">
                  <c:v>-1.9756396454952252</c:v>
                </c:pt>
                <c:pt idx="30">
                  <c:v>3.9431969664527777</c:v>
                </c:pt>
                <c:pt idx="31">
                  <c:v>3.6593793607548726</c:v>
                </c:pt>
                <c:pt idx="32">
                  <c:v>4.1943114290659391</c:v>
                </c:pt>
                <c:pt idx="33">
                  <c:v>3.855666297526767</c:v>
                </c:pt>
                <c:pt idx="34">
                  <c:v>4.3090630127897409</c:v>
                </c:pt>
                <c:pt idx="35">
                  <c:v>3.9010455415405496</c:v>
                </c:pt>
                <c:pt idx="36">
                  <c:v>2.787100300628595</c:v>
                </c:pt>
                <c:pt idx="37">
                  <c:v>4.2924982318438127</c:v>
                </c:pt>
                <c:pt idx="38">
                  <c:v>5.3252838808694714</c:v>
                </c:pt>
                <c:pt idx="39">
                  <c:v>4.2771040592549561</c:v>
                </c:pt>
                <c:pt idx="40">
                  <c:v>-0.76462395543175821</c:v>
                </c:pt>
                <c:pt idx="41">
                  <c:v>10.995401234134723</c:v>
                </c:pt>
              </c:numCache>
            </c:numRef>
          </c:xVal>
          <c:yVal>
            <c:numRef>
              <c:f>'Master Dataset'!$O$2:$O$43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0E-4617-9F4C-7D178D32DBAE}"/>
            </c:ext>
          </c:extLst>
        </c:ser>
        <c:ser>
          <c:idx val="1"/>
          <c:order val="1"/>
          <c:tx>
            <c:v>Predicted Unemployment Rate</c:v>
          </c:tx>
          <c:spPr>
            <a:ln w="19050">
              <a:noFill/>
            </a:ln>
          </c:spPr>
          <c:xVal>
            <c:numRef>
              <c:f>'Master Dataset'!$P$2:$P$43</c:f>
              <c:numCache>
                <c:formatCode>General</c:formatCode>
                <c:ptCount val="42"/>
                <c:pt idx="0">
                  <c:v>0</c:v>
                </c:pt>
                <c:pt idx="1">
                  <c:v>12.238826864522444</c:v>
                </c:pt>
                <c:pt idx="2">
                  <c:v>4.2656688493919601</c:v>
                </c:pt>
                <c:pt idx="3">
                  <c:v>8.6787487289909624</c:v>
                </c:pt>
                <c:pt idx="4">
                  <c:v>11.106219042377543</c:v>
                </c:pt>
                <c:pt idx="5">
                  <c:v>7.4648305924311504</c:v>
                </c:pt>
                <c:pt idx="6">
                  <c:v>5.5450564646231939</c:v>
                </c:pt>
                <c:pt idx="7">
                  <c:v>6.0179928378024155</c:v>
                </c:pt>
                <c:pt idx="8">
                  <c:v>7.8513758444554256</c:v>
                </c:pt>
                <c:pt idx="9">
                  <c:v>7.7381407073562132</c:v>
                </c:pt>
                <c:pt idx="10">
                  <c:v>5.698737946681792</c:v>
                </c:pt>
                <c:pt idx="11">
                  <c:v>3.2701111837802483</c:v>
                </c:pt>
                <c:pt idx="12">
                  <c:v>5.8816842857374807</c:v>
                </c:pt>
                <c:pt idx="13">
                  <c:v>5.1884115761544738</c:v>
                </c:pt>
                <c:pt idx="14">
                  <c:v>6.249088735310405</c:v>
                </c:pt>
                <c:pt idx="15">
                  <c:v>4.8372488747392683</c:v>
                </c:pt>
                <c:pt idx="16">
                  <c:v>5.6729976307970285</c:v>
                </c:pt>
                <c:pt idx="17">
                  <c:v>6.2491484064361895</c:v>
                </c:pt>
                <c:pt idx="18">
                  <c:v>5.6565939190449415</c:v>
                </c:pt>
                <c:pt idx="19">
                  <c:v>6.2717923820453008</c:v>
                </c:pt>
                <c:pt idx="20">
                  <c:v>6.435335160727627</c:v>
                </c:pt>
                <c:pt idx="21">
                  <c:v>3.2279777582674827</c:v>
                </c:pt>
                <c:pt idx="22">
                  <c:v>3.2810742872263083</c:v>
                </c:pt>
                <c:pt idx="23">
                  <c:v>4.8256489555407089</c:v>
                </c:pt>
                <c:pt idx="24">
                  <c:v>6.6398987474359599</c:v>
                </c:pt>
                <c:pt idx="25">
                  <c:v>6.7282192319025631</c:v>
                </c:pt>
                <c:pt idx="26">
                  <c:v>5.9543530277931129</c:v>
                </c:pt>
                <c:pt idx="27">
                  <c:v>4.7670749008367377</c:v>
                </c:pt>
                <c:pt idx="28">
                  <c:v>2.0429453786737706</c:v>
                </c:pt>
                <c:pt idx="29">
                  <c:v>-1.9756396454952252</c:v>
                </c:pt>
                <c:pt idx="30">
                  <c:v>3.9431969664527777</c:v>
                </c:pt>
                <c:pt idx="31">
                  <c:v>3.6593793607548726</c:v>
                </c:pt>
                <c:pt idx="32">
                  <c:v>4.1943114290659391</c:v>
                </c:pt>
                <c:pt idx="33">
                  <c:v>3.855666297526767</c:v>
                </c:pt>
                <c:pt idx="34">
                  <c:v>4.3090630127897409</c:v>
                </c:pt>
                <c:pt idx="35">
                  <c:v>3.9010455415405496</c:v>
                </c:pt>
                <c:pt idx="36">
                  <c:v>2.787100300628595</c:v>
                </c:pt>
                <c:pt idx="37">
                  <c:v>4.2924982318438127</c:v>
                </c:pt>
                <c:pt idx="38">
                  <c:v>5.3252838808694714</c:v>
                </c:pt>
                <c:pt idx="39">
                  <c:v>4.2771040592549561</c:v>
                </c:pt>
                <c:pt idx="40">
                  <c:v>-0.76462395543175821</c:v>
                </c:pt>
                <c:pt idx="41">
                  <c:v>10.995401234134723</c:v>
                </c:pt>
              </c:numCache>
            </c:numRef>
          </c:xVal>
          <c:yVal>
            <c:numRef>
              <c:f>'Result 2'!$B$28:$B$69</c:f>
              <c:numCache>
                <c:formatCode>General</c:formatCode>
                <c:ptCount val="42"/>
                <c:pt idx="0">
                  <c:v>79.868471969491779</c:v>
                </c:pt>
                <c:pt idx="1">
                  <c:v>69.371035860918496</c:v>
                </c:pt>
                <c:pt idx="2">
                  <c:v>76.601998500163845</c:v>
                </c:pt>
                <c:pt idx="3">
                  <c:v>72.408853743936902</c:v>
                </c:pt>
                <c:pt idx="4">
                  <c:v>67.862046295505948</c:v>
                </c:pt>
                <c:pt idx="5">
                  <c:v>72.668370424437882</c:v>
                </c:pt>
                <c:pt idx="6">
                  <c:v>78.025806084305046</c:v>
                </c:pt>
                <c:pt idx="7">
                  <c:v>65.026232848518717</c:v>
                </c:pt>
                <c:pt idx="8">
                  <c:v>68.255474658480964</c:v>
                </c:pt>
                <c:pt idx="9">
                  <c:v>66.178496159529317</c:v>
                </c:pt>
                <c:pt idx="10">
                  <c:v>73.324372499363577</c:v>
                </c:pt>
                <c:pt idx="11">
                  <c:v>77.113577201003721</c:v>
                </c:pt>
                <c:pt idx="12">
                  <c:v>87.319757024098223</c:v>
                </c:pt>
                <c:pt idx="13">
                  <c:v>76.8619675706192</c:v>
                </c:pt>
                <c:pt idx="14">
                  <c:v>71.780686874463896</c:v>
                </c:pt>
                <c:pt idx="15">
                  <c:v>78.541084601099101</c:v>
                </c:pt>
                <c:pt idx="16">
                  <c:v>73.226165907352623</c:v>
                </c:pt>
                <c:pt idx="17">
                  <c:v>71.504242032889934</c:v>
                </c:pt>
                <c:pt idx="18">
                  <c:v>74.822316997665467</c:v>
                </c:pt>
                <c:pt idx="19">
                  <c:v>69.626296317669457</c:v>
                </c:pt>
                <c:pt idx="20">
                  <c:v>68.517766456587381</c:v>
                </c:pt>
                <c:pt idx="21">
                  <c:v>67.143037798551973</c:v>
                </c:pt>
                <c:pt idx="22">
                  <c:v>71.745276463874546</c:v>
                </c:pt>
                <c:pt idx="23">
                  <c:v>78.324246457821175</c:v>
                </c:pt>
                <c:pt idx="24">
                  <c:v>71.529320709995673</c:v>
                </c:pt>
                <c:pt idx="25">
                  <c:v>69.55300250221137</c:v>
                </c:pt>
                <c:pt idx="26">
                  <c:v>72.085645135792831</c:v>
                </c:pt>
                <c:pt idx="27">
                  <c:v>76.294202031050418</c:v>
                </c:pt>
                <c:pt idx="28">
                  <c:v>76.372536039497959</c:v>
                </c:pt>
                <c:pt idx="29">
                  <c:v>79.123666741139957</c:v>
                </c:pt>
                <c:pt idx="30">
                  <c:v>77.097760204166747</c:v>
                </c:pt>
                <c:pt idx="31">
                  <c:v>76.177820857979455</c:v>
                </c:pt>
                <c:pt idx="32">
                  <c:v>77.411856551974793</c:v>
                </c:pt>
                <c:pt idx="33">
                  <c:v>78.201011029972207</c:v>
                </c:pt>
                <c:pt idx="34">
                  <c:v>77.187779148638043</c:v>
                </c:pt>
                <c:pt idx="35">
                  <c:v>77.054641845129126</c:v>
                </c:pt>
                <c:pt idx="36">
                  <c:v>78.613348253810074</c:v>
                </c:pt>
                <c:pt idx="37">
                  <c:v>79.936876001180011</c:v>
                </c:pt>
                <c:pt idx="38">
                  <c:v>80.154359777373372</c:v>
                </c:pt>
                <c:pt idx="39">
                  <c:v>79.608107569406059</c:v>
                </c:pt>
                <c:pt idx="40">
                  <c:v>85.258549273051415</c:v>
                </c:pt>
                <c:pt idx="41">
                  <c:v>69.421935579282248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E-4617-9F4C-7D178D32D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889599"/>
        <c:axId val="1219891519"/>
      </c:scatterChart>
      <c:valAx>
        <c:axId val="1219889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GDP Growth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9891519"/>
        <c:crosses val="autoZero"/>
        <c:crossBetween val="midCat"/>
      </c:valAx>
      <c:valAx>
        <c:axId val="1219891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Unemployment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98895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Net Immigration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Unemployment Rate</c:v>
          </c:tx>
          <c:spPr>
            <a:ln w="19050">
              <a:noFill/>
            </a:ln>
          </c:spPr>
          <c:xVal>
            <c:numRef>
              <c:f>'Master Dataset'!$Q$2:$Q$43</c:f>
              <c:numCache>
                <c:formatCode>General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xVal>
          <c:yVal>
            <c:numRef>
              <c:f>'Master Dataset'!$O$2:$O$43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59-49E5-B087-4517E576637E}"/>
            </c:ext>
          </c:extLst>
        </c:ser>
        <c:ser>
          <c:idx val="1"/>
          <c:order val="1"/>
          <c:tx>
            <c:v>Predicted Unemployment Rate</c:v>
          </c:tx>
          <c:spPr>
            <a:ln w="19050">
              <a:noFill/>
            </a:ln>
          </c:spPr>
          <c:xVal>
            <c:numRef>
              <c:f>'Master Dataset'!$Q$2:$Q$43</c:f>
              <c:numCache>
                <c:formatCode>General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xVal>
          <c:yVal>
            <c:numRef>
              <c:f>'Result 2'!$B$28:$B$69</c:f>
              <c:numCache>
                <c:formatCode>General</c:formatCode>
                <c:ptCount val="42"/>
                <c:pt idx="0">
                  <c:v>79.868471969491779</c:v>
                </c:pt>
                <c:pt idx="1">
                  <c:v>69.371035860918496</c:v>
                </c:pt>
                <c:pt idx="2">
                  <c:v>76.601998500163845</c:v>
                </c:pt>
                <c:pt idx="3">
                  <c:v>72.408853743936902</c:v>
                </c:pt>
                <c:pt idx="4">
                  <c:v>67.862046295505948</c:v>
                </c:pt>
                <c:pt idx="5">
                  <c:v>72.668370424437882</c:v>
                </c:pt>
                <c:pt idx="6">
                  <c:v>78.025806084305046</c:v>
                </c:pt>
                <c:pt idx="7">
                  <c:v>65.026232848518717</c:v>
                </c:pt>
                <c:pt idx="8">
                  <c:v>68.255474658480964</c:v>
                </c:pt>
                <c:pt idx="9">
                  <c:v>66.178496159529317</c:v>
                </c:pt>
                <c:pt idx="10">
                  <c:v>73.324372499363577</c:v>
                </c:pt>
                <c:pt idx="11">
                  <c:v>77.113577201003721</c:v>
                </c:pt>
                <c:pt idx="12">
                  <c:v>87.319757024098223</c:v>
                </c:pt>
                <c:pt idx="13">
                  <c:v>76.8619675706192</c:v>
                </c:pt>
                <c:pt idx="14">
                  <c:v>71.780686874463896</c:v>
                </c:pt>
                <c:pt idx="15">
                  <c:v>78.541084601099101</c:v>
                </c:pt>
                <c:pt idx="16">
                  <c:v>73.226165907352623</c:v>
                </c:pt>
                <c:pt idx="17">
                  <c:v>71.504242032889934</c:v>
                </c:pt>
                <c:pt idx="18">
                  <c:v>74.822316997665467</c:v>
                </c:pt>
                <c:pt idx="19">
                  <c:v>69.626296317669457</c:v>
                </c:pt>
                <c:pt idx="20">
                  <c:v>68.517766456587381</c:v>
                </c:pt>
                <c:pt idx="21">
                  <c:v>67.143037798551973</c:v>
                </c:pt>
                <c:pt idx="22">
                  <c:v>71.745276463874546</c:v>
                </c:pt>
                <c:pt idx="23">
                  <c:v>78.324246457821175</c:v>
                </c:pt>
                <c:pt idx="24">
                  <c:v>71.529320709995673</c:v>
                </c:pt>
                <c:pt idx="25">
                  <c:v>69.55300250221137</c:v>
                </c:pt>
                <c:pt idx="26">
                  <c:v>72.085645135792831</c:v>
                </c:pt>
                <c:pt idx="27">
                  <c:v>76.294202031050418</c:v>
                </c:pt>
                <c:pt idx="28">
                  <c:v>76.372536039497959</c:v>
                </c:pt>
                <c:pt idx="29">
                  <c:v>79.123666741139957</c:v>
                </c:pt>
                <c:pt idx="30">
                  <c:v>77.097760204166747</c:v>
                </c:pt>
                <c:pt idx="31">
                  <c:v>76.177820857979455</c:v>
                </c:pt>
                <c:pt idx="32">
                  <c:v>77.411856551974793</c:v>
                </c:pt>
                <c:pt idx="33">
                  <c:v>78.201011029972207</c:v>
                </c:pt>
                <c:pt idx="34">
                  <c:v>77.187779148638043</c:v>
                </c:pt>
                <c:pt idx="35">
                  <c:v>77.054641845129126</c:v>
                </c:pt>
                <c:pt idx="36">
                  <c:v>78.613348253810074</c:v>
                </c:pt>
                <c:pt idx="37">
                  <c:v>79.936876001180011</c:v>
                </c:pt>
                <c:pt idx="38">
                  <c:v>80.154359777373372</c:v>
                </c:pt>
                <c:pt idx="39">
                  <c:v>79.608107569406059</c:v>
                </c:pt>
                <c:pt idx="40">
                  <c:v>85.258549273051415</c:v>
                </c:pt>
                <c:pt idx="41">
                  <c:v>69.421935579282248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59-49E5-B087-4517E5766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889599"/>
        <c:axId val="1219890079"/>
      </c:scatterChart>
      <c:valAx>
        <c:axId val="1219889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Immigration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9890079"/>
        <c:crosses val="autoZero"/>
        <c:crossBetween val="midCat"/>
      </c:valAx>
      <c:valAx>
        <c:axId val="1219890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Unemployment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98895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Immigration Lag1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Unemployment Rate</c:v>
          </c:tx>
          <c:spPr>
            <a:ln w="19050">
              <a:noFill/>
            </a:ln>
          </c:spPr>
          <c:xVal>
            <c:numRef>
              <c:f>'Master Dataset'!$R$2:$R$43</c:f>
              <c:numCache>
                <c:formatCode>General</c:formatCode>
                <c:ptCount val="42"/>
                <c:pt idx="0">
                  <c:v>0</c:v>
                </c:pt>
                <c:pt idx="1">
                  <c:v>-5813</c:v>
                </c:pt>
                <c:pt idx="2">
                  <c:v>-86988</c:v>
                </c:pt>
                <c:pt idx="3">
                  <c:v>-196068</c:v>
                </c:pt>
                <c:pt idx="4">
                  <c:v>-339541</c:v>
                </c:pt>
                <c:pt idx="5">
                  <c:v>-316325</c:v>
                </c:pt>
                <c:pt idx="6">
                  <c:v>-428548</c:v>
                </c:pt>
                <c:pt idx="7">
                  <c:v>-948739</c:v>
                </c:pt>
                <c:pt idx="8">
                  <c:v>-451122</c:v>
                </c:pt>
                <c:pt idx="9">
                  <c:v>-219790</c:v>
                </c:pt>
                <c:pt idx="10">
                  <c:v>331925</c:v>
                </c:pt>
                <c:pt idx="11">
                  <c:v>605366</c:v>
                </c:pt>
                <c:pt idx="12">
                  <c:v>845690</c:v>
                </c:pt>
                <c:pt idx="13">
                  <c:v>-60507</c:v>
                </c:pt>
                <c:pt idx="14">
                  <c:v>-267855</c:v>
                </c:pt>
                <c:pt idx="15">
                  <c:v>-159108</c:v>
                </c:pt>
                <c:pt idx="16">
                  <c:v>-545538</c:v>
                </c:pt>
                <c:pt idx="17">
                  <c:v>-652127</c:v>
                </c:pt>
                <c:pt idx="18">
                  <c:v>-687616</c:v>
                </c:pt>
                <c:pt idx="19">
                  <c:v>-1015022</c:v>
                </c:pt>
                <c:pt idx="20">
                  <c:v>-1027905</c:v>
                </c:pt>
                <c:pt idx="21">
                  <c:v>-951176</c:v>
                </c:pt>
                <c:pt idx="22">
                  <c:v>-410575</c:v>
                </c:pt>
                <c:pt idx="23">
                  <c:v>-91143</c:v>
                </c:pt>
                <c:pt idx="24">
                  <c:v>-424564</c:v>
                </c:pt>
                <c:pt idx="25">
                  <c:v>-396518</c:v>
                </c:pt>
                <c:pt idx="26">
                  <c:v>-167356</c:v>
                </c:pt>
                <c:pt idx="27">
                  <c:v>-17132</c:v>
                </c:pt>
                <c:pt idx="28">
                  <c:v>-110139</c:v>
                </c:pt>
                <c:pt idx="29">
                  <c:v>-3825</c:v>
                </c:pt>
                <c:pt idx="30">
                  <c:v>243114</c:v>
                </c:pt>
                <c:pt idx="31">
                  <c:v>261671</c:v>
                </c:pt>
                <c:pt idx="32">
                  <c:v>405965</c:v>
                </c:pt>
                <c:pt idx="33">
                  <c:v>443126</c:v>
                </c:pt>
                <c:pt idx="34">
                  <c:v>449288</c:v>
                </c:pt>
                <c:pt idx="35">
                  <c:v>517631</c:v>
                </c:pt>
                <c:pt idx="36">
                  <c:v>667012</c:v>
                </c:pt>
                <c:pt idx="37">
                  <c:v>829752</c:v>
                </c:pt>
                <c:pt idx="38">
                  <c:v>796106</c:v>
                </c:pt>
                <c:pt idx="39">
                  <c:v>631502</c:v>
                </c:pt>
                <c:pt idx="40">
                  <c:v>543373</c:v>
                </c:pt>
                <c:pt idx="41">
                  <c:v>313888</c:v>
                </c:pt>
              </c:numCache>
            </c:numRef>
          </c:xVal>
          <c:yVal>
            <c:numRef>
              <c:f>'Master Dataset'!$O$2:$O$43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EA-45F0-98BB-8E4D9E9B1769}"/>
            </c:ext>
          </c:extLst>
        </c:ser>
        <c:ser>
          <c:idx val="1"/>
          <c:order val="1"/>
          <c:tx>
            <c:v>Predicted Unemployment Rate</c:v>
          </c:tx>
          <c:spPr>
            <a:ln w="19050">
              <a:noFill/>
            </a:ln>
          </c:spPr>
          <c:xVal>
            <c:numRef>
              <c:f>'Master Dataset'!$R$2:$R$43</c:f>
              <c:numCache>
                <c:formatCode>General</c:formatCode>
                <c:ptCount val="42"/>
                <c:pt idx="0">
                  <c:v>0</c:v>
                </c:pt>
                <c:pt idx="1">
                  <c:v>-5813</c:v>
                </c:pt>
                <c:pt idx="2">
                  <c:v>-86988</c:v>
                </c:pt>
                <c:pt idx="3">
                  <c:v>-196068</c:v>
                </c:pt>
                <c:pt idx="4">
                  <c:v>-339541</c:v>
                </c:pt>
                <c:pt idx="5">
                  <c:v>-316325</c:v>
                </c:pt>
                <c:pt idx="6">
                  <c:v>-428548</c:v>
                </c:pt>
                <c:pt idx="7">
                  <c:v>-948739</c:v>
                </c:pt>
                <c:pt idx="8">
                  <c:v>-451122</c:v>
                </c:pt>
                <c:pt idx="9">
                  <c:v>-219790</c:v>
                </c:pt>
                <c:pt idx="10">
                  <c:v>331925</c:v>
                </c:pt>
                <c:pt idx="11">
                  <c:v>605366</c:v>
                </c:pt>
                <c:pt idx="12">
                  <c:v>845690</c:v>
                </c:pt>
                <c:pt idx="13">
                  <c:v>-60507</c:v>
                </c:pt>
                <c:pt idx="14">
                  <c:v>-267855</c:v>
                </c:pt>
                <c:pt idx="15">
                  <c:v>-159108</c:v>
                </c:pt>
                <c:pt idx="16">
                  <c:v>-545538</c:v>
                </c:pt>
                <c:pt idx="17">
                  <c:v>-652127</c:v>
                </c:pt>
                <c:pt idx="18">
                  <c:v>-687616</c:v>
                </c:pt>
                <c:pt idx="19">
                  <c:v>-1015022</c:v>
                </c:pt>
                <c:pt idx="20">
                  <c:v>-1027905</c:v>
                </c:pt>
                <c:pt idx="21">
                  <c:v>-951176</c:v>
                </c:pt>
                <c:pt idx="22">
                  <c:v>-410575</c:v>
                </c:pt>
                <c:pt idx="23">
                  <c:v>-91143</c:v>
                </c:pt>
                <c:pt idx="24">
                  <c:v>-424564</c:v>
                </c:pt>
                <c:pt idx="25">
                  <c:v>-396518</c:v>
                </c:pt>
                <c:pt idx="26">
                  <c:v>-167356</c:v>
                </c:pt>
                <c:pt idx="27">
                  <c:v>-17132</c:v>
                </c:pt>
                <c:pt idx="28">
                  <c:v>-110139</c:v>
                </c:pt>
                <c:pt idx="29">
                  <c:v>-3825</c:v>
                </c:pt>
                <c:pt idx="30">
                  <c:v>243114</c:v>
                </c:pt>
                <c:pt idx="31">
                  <c:v>261671</c:v>
                </c:pt>
                <c:pt idx="32">
                  <c:v>405965</c:v>
                </c:pt>
                <c:pt idx="33">
                  <c:v>443126</c:v>
                </c:pt>
                <c:pt idx="34">
                  <c:v>449288</c:v>
                </c:pt>
                <c:pt idx="35">
                  <c:v>517631</c:v>
                </c:pt>
                <c:pt idx="36">
                  <c:v>667012</c:v>
                </c:pt>
                <c:pt idx="37">
                  <c:v>829752</c:v>
                </c:pt>
                <c:pt idx="38">
                  <c:v>796106</c:v>
                </c:pt>
                <c:pt idx="39">
                  <c:v>631502</c:v>
                </c:pt>
                <c:pt idx="40">
                  <c:v>543373</c:v>
                </c:pt>
                <c:pt idx="41">
                  <c:v>313888</c:v>
                </c:pt>
              </c:numCache>
            </c:numRef>
          </c:xVal>
          <c:yVal>
            <c:numRef>
              <c:f>'Result 2'!$B$28:$B$69</c:f>
              <c:numCache>
                <c:formatCode>General</c:formatCode>
                <c:ptCount val="42"/>
                <c:pt idx="0">
                  <c:v>79.868471969491779</c:v>
                </c:pt>
                <c:pt idx="1">
                  <c:v>69.371035860918496</c:v>
                </c:pt>
                <c:pt idx="2">
                  <c:v>76.601998500163845</c:v>
                </c:pt>
                <c:pt idx="3">
                  <c:v>72.408853743936902</c:v>
                </c:pt>
                <c:pt idx="4">
                  <c:v>67.862046295505948</c:v>
                </c:pt>
                <c:pt idx="5">
                  <c:v>72.668370424437882</c:v>
                </c:pt>
                <c:pt idx="6">
                  <c:v>78.025806084305046</c:v>
                </c:pt>
                <c:pt idx="7">
                  <c:v>65.026232848518717</c:v>
                </c:pt>
                <c:pt idx="8">
                  <c:v>68.255474658480964</c:v>
                </c:pt>
                <c:pt idx="9">
                  <c:v>66.178496159529317</c:v>
                </c:pt>
                <c:pt idx="10">
                  <c:v>73.324372499363577</c:v>
                </c:pt>
                <c:pt idx="11">
                  <c:v>77.113577201003721</c:v>
                </c:pt>
                <c:pt idx="12">
                  <c:v>87.319757024098223</c:v>
                </c:pt>
                <c:pt idx="13">
                  <c:v>76.8619675706192</c:v>
                </c:pt>
                <c:pt idx="14">
                  <c:v>71.780686874463896</c:v>
                </c:pt>
                <c:pt idx="15">
                  <c:v>78.541084601099101</c:v>
                </c:pt>
                <c:pt idx="16">
                  <c:v>73.226165907352623</c:v>
                </c:pt>
                <c:pt idx="17">
                  <c:v>71.504242032889934</c:v>
                </c:pt>
                <c:pt idx="18">
                  <c:v>74.822316997665467</c:v>
                </c:pt>
                <c:pt idx="19">
                  <c:v>69.626296317669457</c:v>
                </c:pt>
                <c:pt idx="20">
                  <c:v>68.517766456587381</c:v>
                </c:pt>
                <c:pt idx="21">
                  <c:v>67.143037798551973</c:v>
                </c:pt>
                <c:pt idx="22">
                  <c:v>71.745276463874546</c:v>
                </c:pt>
                <c:pt idx="23">
                  <c:v>78.324246457821175</c:v>
                </c:pt>
                <c:pt idx="24">
                  <c:v>71.529320709995673</c:v>
                </c:pt>
                <c:pt idx="25">
                  <c:v>69.55300250221137</c:v>
                </c:pt>
                <c:pt idx="26">
                  <c:v>72.085645135792831</c:v>
                </c:pt>
                <c:pt idx="27">
                  <c:v>76.294202031050418</c:v>
                </c:pt>
                <c:pt idx="28">
                  <c:v>76.372536039497959</c:v>
                </c:pt>
                <c:pt idx="29">
                  <c:v>79.123666741139957</c:v>
                </c:pt>
                <c:pt idx="30">
                  <c:v>77.097760204166747</c:v>
                </c:pt>
                <c:pt idx="31">
                  <c:v>76.177820857979455</c:v>
                </c:pt>
                <c:pt idx="32">
                  <c:v>77.411856551974793</c:v>
                </c:pt>
                <c:pt idx="33">
                  <c:v>78.201011029972207</c:v>
                </c:pt>
                <c:pt idx="34">
                  <c:v>77.187779148638043</c:v>
                </c:pt>
                <c:pt idx="35">
                  <c:v>77.054641845129126</c:v>
                </c:pt>
                <c:pt idx="36">
                  <c:v>78.613348253810074</c:v>
                </c:pt>
                <c:pt idx="37">
                  <c:v>79.936876001180011</c:v>
                </c:pt>
                <c:pt idx="38">
                  <c:v>80.154359777373372</c:v>
                </c:pt>
                <c:pt idx="39">
                  <c:v>79.608107569406059</c:v>
                </c:pt>
                <c:pt idx="40">
                  <c:v>85.258549273051415</c:v>
                </c:pt>
                <c:pt idx="41">
                  <c:v>69.421935579282248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EA-45F0-98BB-8E4D9E9B1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630895"/>
        <c:axId val="1216632335"/>
      </c:scatterChart>
      <c:valAx>
        <c:axId val="1216630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Immigration Lag1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6632335"/>
        <c:crosses val="autoZero"/>
        <c:crossBetween val="midCat"/>
      </c:valAx>
      <c:valAx>
        <c:axId val="1216632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Unemployment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66308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Net Immigration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'Master Dataset'!$U$2:$U$43</c:f>
              <c:numCache>
                <c:formatCode>General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xVal>
          <c:yVal>
            <c:numRef>
              <c:f>'Result 3'!$C$27:$C$68</c:f>
              <c:numCache>
                <c:formatCode>General</c:formatCode>
                <c:ptCount val="42"/>
                <c:pt idx="0">
                  <c:v>204.62926379197961</c:v>
                </c:pt>
                <c:pt idx="1">
                  <c:v>144.98129136978559</c:v>
                </c:pt>
                <c:pt idx="2">
                  <c:v>84.454002898922681</c:v>
                </c:pt>
                <c:pt idx="3">
                  <c:v>19.398430602120243</c:v>
                </c:pt>
                <c:pt idx="4">
                  <c:v>91.691598431599232</c:v>
                </c:pt>
                <c:pt idx="5">
                  <c:v>72.32597793439254</c:v>
                </c:pt>
                <c:pt idx="6">
                  <c:v>52.97627308126448</c:v>
                </c:pt>
                <c:pt idx="7">
                  <c:v>97.834925056567954</c:v>
                </c:pt>
                <c:pt idx="8">
                  <c:v>145.45250012652832</c:v>
                </c:pt>
                <c:pt idx="9">
                  <c:v>169.90202197103554</c:v>
                </c:pt>
                <c:pt idx="10">
                  <c:v>171.4391860755286</c:v>
                </c:pt>
                <c:pt idx="11">
                  <c:v>116.89458654473674</c:v>
                </c:pt>
                <c:pt idx="12">
                  <c:v>41.983290062109518</c:v>
                </c:pt>
                <c:pt idx="13">
                  <c:v>1.8019590546100517</c:v>
                </c:pt>
                <c:pt idx="14">
                  <c:v>-36.615954062026503</c:v>
                </c:pt>
                <c:pt idx="15">
                  <c:v>4.4116762012790787</c:v>
                </c:pt>
                <c:pt idx="16">
                  <c:v>9.6836420956597067</c:v>
                </c:pt>
                <c:pt idx="17">
                  <c:v>-2.9186164202073996</c:v>
                </c:pt>
                <c:pt idx="18">
                  <c:v>91.962016819658857</c:v>
                </c:pt>
                <c:pt idx="19">
                  <c:v>-4.0916826754619251</c:v>
                </c:pt>
                <c:pt idx="20">
                  <c:v>109.56331200988097</c:v>
                </c:pt>
                <c:pt idx="21">
                  <c:v>171.76207081582652</c:v>
                </c:pt>
                <c:pt idx="22">
                  <c:v>-21.850919236740083</c:v>
                </c:pt>
                <c:pt idx="23">
                  <c:v>-184.59252899717103</c:v>
                </c:pt>
                <c:pt idx="24">
                  <c:v>-294.89091176382317</c:v>
                </c:pt>
                <c:pt idx="25">
                  <c:v>-452.59951724690836</c:v>
                </c:pt>
                <c:pt idx="26">
                  <c:v>-347.36068477040135</c:v>
                </c:pt>
                <c:pt idx="27">
                  <c:v>-304.01261270466057</c:v>
                </c:pt>
                <c:pt idx="28">
                  <c:v>-134.35738639039664</c:v>
                </c:pt>
                <c:pt idx="29">
                  <c:v>-424.9439212057714</c:v>
                </c:pt>
                <c:pt idx="30">
                  <c:v>-455.97294469820372</c:v>
                </c:pt>
                <c:pt idx="31">
                  <c:v>-143.10266759045953</c:v>
                </c:pt>
                <c:pt idx="32">
                  <c:v>-61.355338967348871</c:v>
                </c:pt>
                <c:pt idx="33">
                  <c:v>-422.16172979522526</c:v>
                </c:pt>
                <c:pt idx="34">
                  <c:v>-276.60631539865608</c:v>
                </c:pt>
                <c:pt idx="35">
                  <c:v>-135.14757226375514</c:v>
                </c:pt>
                <c:pt idx="36">
                  <c:v>-140.16429067391255</c:v>
                </c:pt>
                <c:pt idx="37">
                  <c:v>-49.794194353489729</c:v>
                </c:pt>
                <c:pt idx="38">
                  <c:v>-88.069928451284795</c:v>
                </c:pt>
                <c:pt idx="39">
                  <c:v>-25.210813937806961</c:v>
                </c:pt>
                <c:pt idx="40">
                  <c:v>1122.1826967957459</c:v>
                </c:pt>
                <c:pt idx="41">
                  <c:v>1080.4898098643534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3-4F3F-98B4-05137871B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905519"/>
        <c:axId val="1229905999"/>
      </c:scatterChart>
      <c:valAx>
        <c:axId val="1229905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Immigration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905999"/>
        <c:crosses val="autoZero"/>
        <c:crossBetween val="midCat"/>
      </c:valAx>
      <c:valAx>
        <c:axId val="1229905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90551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GDP Nominal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'Master Dataset'!$V$2:$V$43</c:f>
              <c:numCache>
                <c:formatCode>General</c:formatCode>
                <c:ptCount val="42"/>
                <c:pt idx="0">
                  <c:v>2857.3</c:v>
                </c:pt>
                <c:pt idx="1">
                  <c:v>3207</c:v>
                </c:pt>
                <c:pt idx="2">
                  <c:v>3343.8</c:v>
                </c:pt>
                <c:pt idx="3">
                  <c:v>3634</c:v>
                </c:pt>
                <c:pt idx="4">
                  <c:v>4037.6</c:v>
                </c:pt>
                <c:pt idx="5">
                  <c:v>4339</c:v>
                </c:pt>
                <c:pt idx="6">
                  <c:v>4579.6000000000004</c:v>
                </c:pt>
                <c:pt idx="7">
                  <c:v>4855.2</c:v>
                </c:pt>
                <c:pt idx="8">
                  <c:v>5236.3999999999996</c:v>
                </c:pt>
                <c:pt idx="9">
                  <c:v>5641.6</c:v>
                </c:pt>
                <c:pt idx="10">
                  <c:v>5963.1</c:v>
                </c:pt>
                <c:pt idx="11">
                  <c:v>6158.1</c:v>
                </c:pt>
                <c:pt idx="12">
                  <c:v>6520.3</c:v>
                </c:pt>
                <c:pt idx="13">
                  <c:v>6858.6</c:v>
                </c:pt>
                <c:pt idx="14">
                  <c:v>7287.2</c:v>
                </c:pt>
                <c:pt idx="15">
                  <c:v>7639.7</c:v>
                </c:pt>
                <c:pt idx="16">
                  <c:v>8073.1</c:v>
                </c:pt>
                <c:pt idx="17">
                  <c:v>8577.6</c:v>
                </c:pt>
                <c:pt idx="18">
                  <c:v>9062.7999999999993</c:v>
                </c:pt>
                <c:pt idx="19">
                  <c:v>9631.2000000000007</c:v>
                </c:pt>
                <c:pt idx="20">
                  <c:v>10251</c:v>
                </c:pt>
                <c:pt idx="21">
                  <c:v>10581.9</c:v>
                </c:pt>
                <c:pt idx="22">
                  <c:v>10929.1</c:v>
                </c:pt>
                <c:pt idx="23">
                  <c:v>11456.5</c:v>
                </c:pt>
                <c:pt idx="24">
                  <c:v>12217.2</c:v>
                </c:pt>
                <c:pt idx="25">
                  <c:v>13039.2</c:v>
                </c:pt>
                <c:pt idx="26">
                  <c:v>13815.6</c:v>
                </c:pt>
                <c:pt idx="27">
                  <c:v>14474.2</c:v>
                </c:pt>
                <c:pt idx="28">
                  <c:v>14769.9</c:v>
                </c:pt>
                <c:pt idx="29">
                  <c:v>14478.1</c:v>
                </c:pt>
                <c:pt idx="30">
                  <c:v>15049</c:v>
                </c:pt>
                <c:pt idx="31">
                  <c:v>15599.7</c:v>
                </c:pt>
                <c:pt idx="32">
                  <c:v>16254</c:v>
                </c:pt>
                <c:pt idx="33">
                  <c:v>16880.7</c:v>
                </c:pt>
                <c:pt idx="34">
                  <c:v>17608.099999999999</c:v>
                </c:pt>
                <c:pt idx="35">
                  <c:v>18295</c:v>
                </c:pt>
                <c:pt idx="36">
                  <c:v>18804.900000000001</c:v>
                </c:pt>
                <c:pt idx="37">
                  <c:v>19612.099999999999</c:v>
                </c:pt>
                <c:pt idx="38">
                  <c:v>20656.5</c:v>
                </c:pt>
                <c:pt idx="39">
                  <c:v>21540</c:v>
                </c:pt>
                <c:pt idx="40">
                  <c:v>21375.3</c:v>
                </c:pt>
                <c:pt idx="41">
                  <c:v>23725.599999999999</c:v>
                </c:pt>
              </c:numCache>
            </c:numRef>
          </c:xVal>
          <c:yVal>
            <c:numRef>
              <c:f>'Result 3'!$C$27:$C$68</c:f>
              <c:numCache>
                <c:formatCode>General</c:formatCode>
                <c:ptCount val="42"/>
                <c:pt idx="0">
                  <c:v>204.62926379197961</c:v>
                </c:pt>
                <c:pt idx="1">
                  <c:v>144.98129136978559</c:v>
                </c:pt>
                <c:pt idx="2">
                  <c:v>84.454002898922681</c:v>
                </c:pt>
                <c:pt idx="3">
                  <c:v>19.398430602120243</c:v>
                </c:pt>
                <c:pt idx="4">
                  <c:v>91.691598431599232</c:v>
                </c:pt>
                <c:pt idx="5">
                  <c:v>72.32597793439254</c:v>
                </c:pt>
                <c:pt idx="6">
                  <c:v>52.97627308126448</c:v>
                </c:pt>
                <c:pt idx="7">
                  <c:v>97.834925056567954</c:v>
                </c:pt>
                <c:pt idx="8">
                  <c:v>145.45250012652832</c:v>
                </c:pt>
                <c:pt idx="9">
                  <c:v>169.90202197103554</c:v>
                </c:pt>
                <c:pt idx="10">
                  <c:v>171.4391860755286</c:v>
                </c:pt>
                <c:pt idx="11">
                  <c:v>116.89458654473674</c:v>
                </c:pt>
                <c:pt idx="12">
                  <c:v>41.983290062109518</c:v>
                </c:pt>
                <c:pt idx="13">
                  <c:v>1.8019590546100517</c:v>
                </c:pt>
                <c:pt idx="14">
                  <c:v>-36.615954062026503</c:v>
                </c:pt>
                <c:pt idx="15">
                  <c:v>4.4116762012790787</c:v>
                </c:pt>
                <c:pt idx="16">
                  <c:v>9.6836420956597067</c:v>
                </c:pt>
                <c:pt idx="17">
                  <c:v>-2.9186164202073996</c:v>
                </c:pt>
                <c:pt idx="18">
                  <c:v>91.962016819658857</c:v>
                </c:pt>
                <c:pt idx="19">
                  <c:v>-4.0916826754619251</c:v>
                </c:pt>
                <c:pt idx="20">
                  <c:v>109.56331200988097</c:v>
                </c:pt>
                <c:pt idx="21">
                  <c:v>171.76207081582652</c:v>
                </c:pt>
                <c:pt idx="22">
                  <c:v>-21.850919236740083</c:v>
                </c:pt>
                <c:pt idx="23">
                  <c:v>-184.59252899717103</c:v>
                </c:pt>
                <c:pt idx="24">
                  <c:v>-294.89091176382317</c:v>
                </c:pt>
                <c:pt idx="25">
                  <c:v>-452.59951724690836</c:v>
                </c:pt>
                <c:pt idx="26">
                  <c:v>-347.36068477040135</c:v>
                </c:pt>
                <c:pt idx="27">
                  <c:v>-304.01261270466057</c:v>
                </c:pt>
                <c:pt idx="28">
                  <c:v>-134.35738639039664</c:v>
                </c:pt>
                <c:pt idx="29">
                  <c:v>-424.9439212057714</c:v>
                </c:pt>
                <c:pt idx="30">
                  <c:v>-455.97294469820372</c:v>
                </c:pt>
                <c:pt idx="31">
                  <c:v>-143.10266759045953</c:v>
                </c:pt>
                <c:pt idx="32">
                  <c:v>-61.355338967348871</c:v>
                </c:pt>
                <c:pt idx="33">
                  <c:v>-422.16172979522526</c:v>
                </c:pt>
                <c:pt idx="34">
                  <c:v>-276.60631539865608</c:v>
                </c:pt>
                <c:pt idx="35">
                  <c:v>-135.14757226375514</c:v>
                </c:pt>
                <c:pt idx="36">
                  <c:v>-140.16429067391255</c:v>
                </c:pt>
                <c:pt idx="37">
                  <c:v>-49.794194353489729</c:v>
                </c:pt>
                <c:pt idx="38">
                  <c:v>-88.069928451284795</c:v>
                </c:pt>
                <c:pt idx="39">
                  <c:v>-25.210813937806961</c:v>
                </c:pt>
                <c:pt idx="40">
                  <c:v>1122.1826967957459</c:v>
                </c:pt>
                <c:pt idx="41">
                  <c:v>1080.4898098643534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3-41CE-8BC8-E8BA366FB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524271"/>
        <c:axId val="1243524751"/>
      </c:scatterChart>
      <c:valAx>
        <c:axId val="1243524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GDP Nominal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524751"/>
        <c:crosses val="autoZero"/>
        <c:crossBetween val="midCat"/>
      </c:valAx>
      <c:valAx>
        <c:axId val="12435247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5242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Unemployment Rate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'Master Dataset'!$W$2:$W$43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xVal>
          <c:yVal>
            <c:numRef>
              <c:f>'Result 3'!$C$27:$C$68</c:f>
              <c:numCache>
                <c:formatCode>General</c:formatCode>
                <c:ptCount val="42"/>
                <c:pt idx="0">
                  <c:v>204.62926379197961</c:v>
                </c:pt>
                <c:pt idx="1">
                  <c:v>144.98129136978559</c:v>
                </c:pt>
                <c:pt idx="2">
                  <c:v>84.454002898922681</c:v>
                </c:pt>
                <c:pt idx="3">
                  <c:v>19.398430602120243</c:v>
                </c:pt>
                <c:pt idx="4">
                  <c:v>91.691598431599232</c:v>
                </c:pt>
                <c:pt idx="5">
                  <c:v>72.32597793439254</c:v>
                </c:pt>
                <c:pt idx="6">
                  <c:v>52.97627308126448</c:v>
                </c:pt>
                <c:pt idx="7">
                  <c:v>97.834925056567954</c:v>
                </c:pt>
                <c:pt idx="8">
                  <c:v>145.45250012652832</c:v>
                </c:pt>
                <c:pt idx="9">
                  <c:v>169.90202197103554</c:v>
                </c:pt>
                <c:pt idx="10">
                  <c:v>171.4391860755286</c:v>
                </c:pt>
                <c:pt idx="11">
                  <c:v>116.89458654473674</c:v>
                </c:pt>
                <c:pt idx="12">
                  <c:v>41.983290062109518</c:v>
                </c:pt>
                <c:pt idx="13">
                  <c:v>1.8019590546100517</c:v>
                </c:pt>
                <c:pt idx="14">
                  <c:v>-36.615954062026503</c:v>
                </c:pt>
                <c:pt idx="15">
                  <c:v>4.4116762012790787</c:v>
                </c:pt>
                <c:pt idx="16">
                  <c:v>9.6836420956597067</c:v>
                </c:pt>
                <c:pt idx="17">
                  <c:v>-2.9186164202073996</c:v>
                </c:pt>
                <c:pt idx="18">
                  <c:v>91.962016819658857</c:v>
                </c:pt>
                <c:pt idx="19">
                  <c:v>-4.0916826754619251</c:v>
                </c:pt>
                <c:pt idx="20">
                  <c:v>109.56331200988097</c:v>
                </c:pt>
                <c:pt idx="21">
                  <c:v>171.76207081582652</c:v>
                </c:pt>
                <c:pt idx="22">
                  <c:v>-21.850919236740083</c:v>
                </c:pt>
                <c:pt idx="23">
                  <c:v>-184.59252899717103</c:v>
                </c:pt>
                <c:pt idx="24">
                  <c:v>-294.89091176382317</c:v>
                </c:pt>
                <c:pt idx="25">
                  <c:v>-452.59951724690836</c:v>
                </c:pt>
                <c:pt idx="26">
                  <c:v>-347.36068477040135</c:v>
                </c:pt>
                <c:pt idx="27">
                  <c:v>-304.01261270466057</c:v>
                </c:pt>
                <c:pt idx="28">
                  <c:v>-134.35738639039664</c:v>
                </c:pt>
                <c:pt idx="29">
                  <c:v>-424.9439212057714</c:v>
                </c:pt>
                <c:pt idx="30">
                  <c:v>-455.97294469820372</c:v>
                </c:pt>
                <c:pt idx="31">
                  <c:v>-143.10266759045953</c:v>
                </c:pt>
                <c:pt idx="32">
                  <c:v>-61.355338967348871</c:v>
                </c:pt>
                <c:pt idx="33">
                  <c:v>-422.16172979522526</c:v>
                </c:pt>
                <c:pt idx="34">
                  <c:v>-276.60631539865608</c:v>
                </c:pt>
                <c:pt idx="35">
                  <c:v>-135.14757226375514</c:v>
                </c:pt>
                <c:pt idx="36">
                  <c:v>-140.16429067391255</c:v>
                </c:pt>
                <c:pt idx="37">
                  <c:v>-49.794194353489729</c:v>
                </c:pt>
                <c:pt idx="38">
                  <c:v>-88.069928451284795</c:v>
                </c:pt>
                <c:pt idx="39">
                  <c:v>-25.210813937806961</c:v>
                </c:pt>
                <c:pt idx="40">
                  <c:v>1122.1826967957459</c:v>
                </c:pt>
                <c:pt idx="41">
                  <c:v>1080.4898098643534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A2-4AB6-934D-351C4CBF4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904559"/>
        <c:axId val="1229905039"/>
      </c:scatterChart>
      <c:valAx>
        <c:axId val="1229904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Unemployment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905039"/>
        <c:crosses val="autoZero"/>
        <c:crossBetween val="midCat"/>
      </c:valAx>
      <c:valAx>
        <c:axId val="1229905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90455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Net Immigration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Personal Income </c:v>
          </c:tx>
          <c:spPr>
            <a:ln w="19050">
              <a:noFill/>
            </a:ln>
          </c:spPr>
          <c:xVal>
            <c:numRef>
              <c:f>'Master Dataset'!$U$2:$U$43</c:f>
              <c:numCache>
                <c:formatCode>General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xVal>
          <c:yVal>
            <c:numRef>
              <c:f>'Master Dataset'!$T$2:$T$43</c:f>
              <c:numCache>
                <c:formatCode>General</c:formatCode>
                <c:ptCount val="42"/>
                <c:pt idx="0">
                  <c:v>2324.5</c:v>
                </c:pt>
                <c:pt idx="1">
                  <c:v>2603.1999999999998</c:v>
                </c:pt>
                <c:pt idx="2">
                  <c:v>2789.5</c:v>
                </c:pt>
                <c:pt idx="3">
                  <c:v>2981.7</c:v>
                </c:pt>
                <c:pt idx="4">
                  <c:v>3288.7</c:v>
                </c:pt>
                <c:pt idx="5">
                  <c:v>3522.9</c:v>
                </c:pt>
                <c:pt idx="6">
                  <c:v>3731.2</c:v>
                </c:pt>
                <c:pt idx="7">
                  <c:v>3946.8</c:v>
                </c:pt>
                <c:pt idx="8">
                  <c:v>4280</c:v>
                </c:pt>
                <c:pt idx="9">
                  <c:v>4621</c:v>
                </c:pt>
                <c:pt idx="10">
                  <c:v>4913.3</c:v>
                </c:pt>
                <c:pt idx="11">
                  <c:v>5089.8999999999996</c:v>
                </c:pt>
                <c:pt idx="12">
                  <c:v>5417.5</c:v>
                </c:pt>
                <c:pt idx="13">
                  <c:v>5652.9</c:v>
                </c:pt>
                <c:pt idx="14">
                  <c:v>5940.9</c:v>
                </c:pt>
                <c:pt idx="15">
                  <c:v>6283.4</c:v>
                </c:pt>
                <c:pt idx="16">
                  <c:v>6666.2</c:v>
                </c:pt>
                <c:pt idx="17">
                  <c:v>7074</c:v>
                </c:pt>
                <c:pt idx="18">
                  <c:v>7588.4</c:v>
                </c:pt>
                <c:pt idx="19">
                  <c:v>7978.6</c:v>
                </c:pt>
                <c:pt idx="20">
                  <c:v>8621.2999999999993</c:v>
                </c:pt>
                <c:pt idx="21">
                  <c:v>8993.1</c:v>
                </c:pt>
                <c:pt idx="22">
                  <c:v>9150</c:v>
                </c:pt>
                <c:pt idx="23">
                  <c:v>9481.7999999999993</c:v>
                </c:pt>
                <c:pt idx="24">
                  <c:v>10015.9</c:v>
                </c:pt>
                <c:pt idx="25">
                  <c:v>10546.1</c:v>
                </c:pt>
                <c:pt idx="26">
                  <c:v>11302</c:v>
                </c:pt>
                <c:pt idx="27">
                  <c:v>11932.1</c:v>
                </c:pt>
                <c:pt idx="28">
                  <c:v>12425.7</c:v>
                </c:pt>
                <c:pt idx="29">
                  <c:v>12065.7</c:v>
                </c:pt>
                <c:pt idx="30">
                  <c:v>12556.6</c:v>
                </c:pt>
                <c:pt idx="31">
                  <c:v>13309.6</c:v>
                </c:pt>
                <c:pt idx="32">
                  <c:v>13917.8</c:v>
                </c:pt>
                <c:pt idx="33">
                  <c:v>14068.8</c:v>
                </c:pt>
                <c:pt idx="34">
                  <c:v>14784.1</c:v>
                </c:pt>
                <c:pt idx="35">
                  <c:v>15473.7</c:v>
                </c:pt>
                <c:pt idx="36">
                  <c:v>15887.7</c:v>
                </c:pt>
                <c:pt idx="37">
                  <c:v>16662.8</c:v>
                </c:pt>
                <c:pt idx="38">
                  <c:v>17528.2</c:v>
                </c:pt>
                <c:pt idx="39">
                  <c:v>18363.2</c:v>
                </c:pt>
                <c:pt idx="40">
                  <c:v>19631.7</c:v>
                </c:pt>
                <c:pt idx="41">
                  <c:v>21498.9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A6-4C1B-8790-A225EC56BABA}"/>
            </c:ext>
          </c:extLst>
        </c:ser>
        <c:ser>
          <c:idx val="1"/>
          <c:order val="1"/>
          <c:tx>
            <c:v>Predicted Personal Income </c:v>
          </c:tx>
          <c:spPr>
            <a:ln w="19050">
              <a:noFill/>
            </a:ln>
          </c:spPr>
          <c:xVal>
            <c:numRef>
              <c:f>'Master Dataset'!$U$2:$U$43</c:f>
              <c:numCache>
                <c:formatCode>General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xVal>
          <c:yVal>
            <c:numRef>
              <c:f>'Result 3'!$B$27:$B$68</c:f>
              <c:numCache>
                <c:formatCode>General</c:formatCode>
                <c:ptCount val="42"/>
                <c:pt idx="0">
                  <c:v>2119.8707362080204</c:v>
                </c:pt>
                <c:pt idx="1">
                  <c:v>2458.2187086302142</c:v>
                </c:pt>
                <c:pt idx="2">
                  <c:v>2705.0459971010773</c:v>
                </c:pt>
                <c:pt idx="3">
                  <c:v>2962.3015693978796</c:v>
                </c:pt>
                <c:pt idx="4">
                  <c:v>3197.0084015684006</c:v>
                </c:pt>
                <c:pt idx="5">
                  <c:v>3450.5740220656076</c:v>
                </c:pt>
                <c:pt idx="6">
                  <c:v>3678.2237269187353</c:v>
                </c:pt>
                <c:pt idx="7">
                  <c:v>3848.9650749434322</c:v>
                </c:pt>
                <c:pt idx="8">
                  <c:v>4134.5474998734717</c:v>
                </c:pt>
                <c:pt idx="9">
                  <c:v>4451.0979780289645</c:v>
                </c:pt>
                <c:pt idx="10">
                  <c:v>4741.8608139244716</c:v>
                </c:pt>
                <c:pt idx="11">
                  <c:v>4973.0054134552629</c:v>
                </c:pt>
                <c:pt idx="12">
                  <c:v>5375.5167099378905</c:v>
                </c:pt>
                <c:pt idx="13">
                  <c:v>5651.0980409453896</c:v>
                </c:pt>
                <c:pt idx="14">
                  <c:v>5977.5159540620261</c:v>
                </c:pt>
                <c:pt idx="15">
                  <c:v>6278.9883237987206</c:v>
                </c:pt>
                <c:pt idx="16">
                  <c:v>6656.5163579043401</c:v>
                </c:pt>
                <c:pt idx="17">
                  <c:v>7076.9186164202074</c:v>
                </c:pt>
                <c:pt idx="18">
                  <c:v>7496.4379831803408</c:v>
                </c:pt>
                <c:pt idx="19">
                  <c:v>7982.6916826754623</c:v>
                </c:pt>
                <c:pt idx="20">
                  <c:v>8511.7366879901183</c:v>
                </c:pt>
                <c:pt idx="21">
                  <c:v>8821.3379291841738</c:v>
                </c:pt>
                <c:pt idx="22">
                  <c:v>9171.8509192367401</c:v>
                </c:pt>
                <c:pt idx="23">
                  <c:v>9666.3925289971703</c:v>
                </c:pt>
                <c:pt idx="24">
                  <c:v>10310.790911763823</c:v>
                </c:pt>
                <c:pt idx="25">
                  <c:v>10998.699517246909</c:v>
                </c:pt>
                <c:pt idx="26">
                  <c:v>11649.360684770401</c:v>
                </c:pt>
                <c:pt idx="27">
                  <c:v>12236.112612704661</c:v>
                </c:pt>
                <c:pt idx="28">
                  <c:v>12560.057386390397</c:v>
                </c:pt>
                <c:pt idx="29">
                  <c:v>12490.643921205772</c:v>
                </c:pt>
                <c:pt idx="30">
                  <c:v>13012.572944698204</c:v>
                </c:pt>
                <c:pt idx="31">
                  <c:v>13452.70266759046</c:v>
                </c:pt>
                <c:pt idx="32">
                  <c:v>13979.155338967348</c:v>
                </c:pt>
                <c:pt idx="33">
                  <c:v>14490.961729795225</c:v>
                </c:pt>
                <c:pt idx="34">
                  <c:v>15060.706315398656</c:v>
                </c:pt>
                <c:pt idx="35">
                  <c:v>15608.847572263756</c:v>
                </c:pt>
                <c:pt idx="36">
                  <c:v>16027.864290673913</c:v>
                </c:pt>
                <c:pt idx="37">
                  <c:v>16712.594194353489</c:v>
                </c:pt>
                <c:pt idx="38">
                  <c:v>17616.269928451286</c:v>
                </c:pt>
                <c:pt idx="39">
                  <c:v>18388.410813937808</c:v>
                </c:pt>
                <c:pt idx="40">
                  <c:v>18509.517303204255</c:v>
                </c:pt>
                <c:pt idx="41">
                  <c:v>20418.410190135648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A6-4C1B-8790-A225EC56B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517935"/>
        <c:axId val="1243525711"/>
      </c:scatterChart>
      <c:valAx>
        <c:axId val="1035517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Immigration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525711"/>
        <c:crosses val="autoZero"/>
        <c:crossBetween val="midCat"/>
      </c:valAx>
      <c:valAx>
        <c:axId val="12435257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Personal Income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55179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GDP Nominal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Personal Income </c:v>
          </c:tx>
          <c:spPr>
            <a:ln w="19050">
              <a:noFill/>
            </a:ln>
          </c:spPr>
          <c:xVal>
            <c:numRef>
              <c:f>'Master Dataset'!$V$2:$V$43</c:f>
              <c:numCache>
                <c:formatCode>General</c:formatCode>
                <c:ptCount val="42"/>
                <c:pt idx="0">
                  <c:v>2857.3</c:v>
                </c:pt>
                <c:pt idx="1">
                  <c:v>3207</c:v>
                </c:pt>
                <c:pt idx="2">
                  <c:v>3343.8</c:v>
                </c:pt>
                <c:pt idx="3">
                  <c:v>3634</c:v>
                </c:pt>
                <c:pt idx="4">
                  <c:v>4037.6</c:v>
                </c:pt>
                <c:pt idx="5">
                  <c:v>4339</c:v>
                </c:pt>
                <c:pt idx="6">
                  <c:v>4579.6000000000004</c:v>
                </c:pt>
                <c:pt idx="7">
                  <c:v>4855.2</c:v>
                </c:pt>
                <c:pt idx="8">
                  <c:v>5236.3999999999996</c:v>
                </c:pt>
                <c:pt idx="9">
                  <c:v>5641.6</c:v>
                </c:pt>
                <c:pt idx="10">
                  <c:v>5963.1</c:v>
                </c:pt>
                <c:pt idx="11">
                  <c:v>6158.1</c:v>
                </c:pt>
                <c:pt idx="12">
                  <c:v>6520.3</c:v>
                </c:pt>
                <c:pt idx="13">
                  <c:v>6858.6</c:v>
                </c:pt>
                <c:pt idx="14">
                  <c:v>7287.2</c:v>
                </c:pt>
                <c:pt idx="15">
                  <c:v>7639.7</c:v>
                </c:pt>
                <c:pt idx="16">
                  <c:v>8073.1</c:v>
                </c:pt>
                <c:pt idx="17">
                  <c:v>8577.6</c:v>
                </c:pt>
                <c:pt idx="18">
                  <c:v>9062.7999999999993</c:v>
                </c:pt>
                <c:pt idx="19">
                  <c:v>9631.2000000000007</c:v>
                </c:pt>
                <c:pt idx="20">
                  <c:v>10251</c:v>
                </c:pt>
                <c:pt idx="21">
                  <c:v>10581.9</c:v>
                </c:pt>
                <c:pt idx="22">
                  <c:v>10929.1</c:v>
                </c:pt>
                <c:pt idx="23">
                  <c:v>11456.5</c:v>
                </c:pt>
                <c:pt idx="24">
                  <c:v>12217.2</c:v>
                </c:pt>
                <c:pt idx="25">
                  <c:v>13039.2</c:v>
                </c:pt>
                <c:pt idx="26">
                  <c:v>13815.6</c:v>
                </c:pt>
                <c:pt idx="27">
                  <c:v>14474.2</c:v>
                </c:pt>
                <c:pt idx="28">
                  <c:v>14769.9</c:v>
                </c:pt>
                <c:pt idx="29">
                  <c:v>14478.1</c:v>
                </c:pt>
                <c:pt idx="30">
                  <c:v>15049</c:v>
                </c:pt>
                <c:pt idx="31">
                  <c:v>15599.7</c:v>
                </c:pt>
                <c:pt idx="32">
                  <c:v>16254</c:v>
                </c:pt>
                <c:pt idx="33">
                  <c:v>16880.7</c:v>
                </c:pt>
                <c:pt idx="34">
                  <c:v>17608.099999999999</c:v>
                </c:pt>
                <c:pt idx="35">
                  <c:v>18295</c:v>
                </c:pt>
                <c:pt idx="36">
                  <c:v>18804.900000000001</c:v>
                </c:pt>
                <c:pt idx="37">
                  <c:v>19612.099999999999</c:v>
                </c:pt>
                <c:pt idx="38">
                  <c:v>20656.5</c:v>
                </c:pt>
                <c:pt idx="39">
                  <c:v>21540</c:v>
                </c:pt>
                <c:pt idx="40">
                  <c:v>21375.3</c:v>
                </c:pt>
                <c:pt idx="41">
                  <c:v>23725.599999999999</c:v>
                </c:pt>
              </c:numCache>
            </c:numRef>
          </c:xVal>
          <c:yVal>
            <c:numRef>
              <c:f>'Master Dataset'!$T$2:$T$43</c:f>
              <c:numCache>
                <c:formatCode>General</c:formatCode>
                <c:ptCount val="42"/>
                <c:pt idx="0">
                  <c:v>2324.5</c:v>
                </c:pt>
                <c:pt idx="1">
                  <c:v>2603.1999999999998</c:v>
                </c:pt>
                <c:pt idx="2">
                  <c:v>2789.5</c:v>
                </c:pt>
                <c:pt idx="3">
                  <c:v>2981.7</c:v>
                </c:pt>
                <c:pt idx="4">
                  <c:v>3288.7</c:v>
                </c:pt>
                <c:pt idx="5">
                  <c:v>3522.9</c:v>
                </c:pt>
                <c:pt idx="6">
                  <c:v>3731.2</c:v>
                </c:pt>
                <c:pt idx="7">
                  <c:v>3946.8</c:v>
                </c:pt>
                <c:pt idx="8">
                  <c:v>4280</c:v>
                </c:pt>
                <c:pt idx="9">
                  <c:v>4621</c:v>
                </c:pt>
                <c:pt idx="10">
                  <c:v>4913.3</c:v>
                </c:pt>
                <c:pt idx="11">
                  <c:v>5089.8999999999996</c:v>
                </c:pt>
                <c:pt idx="12">
                  <c:v>5417.5</c:v>
                </c:pt>
                <c:pt idx="13">
                  <c:v>5652.9</c:v>
                </c:pt>
                <c:pt idx="14">
                  <c:v>5940.9</c:v>
                </c:pt>
                <c:pt idx="15">
                  <c:v>6283.4</c:v>
                </c:pt>
                <c:pt idx="16">
                  <c:v>6666.2</c:v>
                </c:pt>
                <c:pt idx="17">
                  <c:v>7074</c:v>
                </c:pt>
                <c:pt idx="18">
                  <c:v>7588.4</c:v>
                </c:pt>
                <c:pt idx="19">
                  <c:v>7978.6</c:v>
                </c:pt>
                <c:pt idx="20">
                  <c:v>8621.2999999999993</c:v>
                </c:pt>
                <c:pt idx="21">
                  <c:v>8993.1</c:v>
                </c:pt>
                <c:pt idx="22">
                  <c:v>9150</c:v>
                </c:pt>
                <c:pt idx="23">
                  <c:v>9481.7999999999993</c:v>
                </c:pt>
                <c:pt idx="24">
                  <c:v>10015.9</c:v>
                </c:pt>
                <c:pt idx="25">
                  <c:v>10546.1</c:v>
                </c:pt>
                <c:pt idx="26">
                  <c:v>11302</c:v>
                </c:pt>
                <c:pt idx="27">
                  <c:v>11932.1</c:v>
                </c:pt>
                <c:pt idx="28">
                  <c:v>12425.7</c:v>
                </c:pt>
                <c:pt idx="29">
                  <c:v>12065.7</c:v>
                </c:pt>
                <c:pt idx="30">
                  <c:v>12556.6</c:v>
                </c:pt>
                <c:pt idx="31">
                  <c:v>13309.6</c:v>
                </c:pt>
                <c:pt idx="32">
                  <c:v>13917.8</c:v>
                </c:pt>
                <c:pt idx="33">
                  <c:v>14068.8</c:v>
                </c:pt>
                <c:pt idx="34">
                  <c:v>14784.1</c:v>
                </c:pt>
                <c:pt idx="35">
                  <c:v>15473.7</c:v>
                </c:pt>
                <c:pt idx="36">
                  <c:v>15887.7</c:v>
                </c:pt>
                <c:pt idx="37">
                  <c:v>16662.8</c:v>
                </c:pt>
                <c:pt idx="38">
                  <c:v>17528.2</c:v>
                </c:pt>
                <c:pt idx="39">
                  <c:v>18363.2</c:v>
                </c:pt>
                <c:pt idx="40">
                  <c:v>19631.7</c:v>
                </c:pt>
                <c:pt idx="41">
                  <c:v>21498.9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B1-4635-8909-FFB55920594F}"/>
            </c:ext>
          </c:extLst>
        </c:ser>
        <c:ser>
          <c:idx val="1"/>
          <c:order val="1"/>
          <c:tx>
            <c:v>Predicted Personal Income </c:v>
          </c:tx>
          <c:spPr>
            <a:ln w="19050">
              <a:noFill/>
            </a:ln>
          </c:spPr>
          <c:xVal>
            <c:numRef>
              <c:f>'Master Dataset'!$V$2:$V$43</c:f>
              <c:numCache>
                <c:formatCode>General</c:formatCode>
                <c:ptCount val="42"/>
                <c:pt idx="0">
                  <c:v>2857.3</c:v>
                </c:pt>
                <c:pt idx="1">
                  <c:v>3207</c:v>
                </c:pt>
                <c:pt idx="2">
                  <c:v>3343.8</c:v>
                </c:pt>
                <c:pt idx="3">
                  <c:v>3634</c:v>
                </c:pt>
                <c:pt idx="4">
                  <c:v>4037.6</c:v>
                </c:pt>
                <c:pt idx="5">
                  <c:v>4339</c:v>
                </c:pt>
                <c:pt idx="6">
                  <c:v>4579.6000000000004</c:v>
                </c:pt>
                <c:pt idx="7">
                  <c:v>4855.2</c:v>
                </c:pt>
                <c:pt idx="8">
                  <c:v>5236.3999999999996</c:v>
                </c:pt>
                <c:pt idx="9">
                  <c:v>5641.6</c:v>
                </c:pt>
                <c:pt idx="10">
                  <c:v>5963.1</c:v>
                </c:pt>
                <c:pt idx="11">
                  <c:v>6158.1</c:v>
                </c:pt>
                <c:pt idx="12">
                  <c:v>6520.3</c:v>
                </c:pt>
                <c:pt idx="13">
                  <c:v>6858.6</c:v>
                </c:pt>
                <c:pt idx="14">
                  <c:v>7287.2</c:v>
                </c:pt>
                <c:pt idx="15">
                  <c:v>7639.7</c:v>
                </c:pt>
                <c:pt idx="16">
                  <c:v>8073.1</c:v>
                </c:pt>
                <c:pt idx="17">
                  <c:v>8577.6</c:v>
                </c:pt>
                <c:pt idx="18">
                  <c:v>9062.7999999999993</c:v>
                </c:pt>
                <c:pt idx="19">
                  <c:v>9631.2000000000007</c:v>
                </c:pt>
                <c:pt idx="20">
                  <c:v>10251</c:v>
                </c:pt>
                <c:pt idx="21">
                  <c:v>10581.9</c:v>
                </c:pt>
                <c:pt idx="22">
                  <c:v>10929.1</c:v>
                </c:pt>
                <c:pt idx="23">
                  <c:v>11456.5</c:v>
                </c:pt>
                <c:pt idx="24">
                  <c:v>12217.2</c:v>
                </c:pt>
                <c:pt idx="25">
                  <c:v>13039.2</c:v>
                </c:pt>
                <c:pt idx="26">
                  <c:v>13815.6</c:v>
                </c:pt>
                <c:pt idx="27">
                  <c:v>14474.2</c:v>
                </c:pt>
                <c:pt idx="28">
                  <c:v>14769.9</c:v>
                </c:pt>
                <c:pt idx="29">
                  <c:v>14478.1</c:v>
                </c:pt>
                <c:pt idx="30">
                  <c:v>15049</c:v>
                </c:pt>
                <c:pt idx="31">
                  <c:v>15599.7</c:v>
                </c:pt>
                <c:pt idx="32">
                  <c:v>16254</c:v>
                </c:pt>
                <c:pt idx="33">
                  <c:v>16880.7</c:v>
                </c:pt>
                <c:pt idx="34">
                  <c:v>17608.099999999999</c:v>
                </c:pt>
                <c:pt idx="35">
                  <c:v>18295</c:v>
                </c:pt>
                <c:pt idx="36">
                  <c:v>18804.900000000001</c:v>
                </c:pt>
                <c:pt idx="37">
                  <c:v>19612.099999999999</c:v>
                </c:pt>
                <c:pt idx="38">
                  <c:v>20656.5</c:v>
                </c:pt>
                <c:pt idx="39">
                  <c:v>21540</c:v>
                </c:pt>
                <c:pt idx="40">
                  <c:v>21375.3</c:v>
                </c:pt>
                <c:pt idx="41">
                  <c:v>23725.599999999999</c:v>
                </c:pt>
              </c:numCache>
            </c:numRef>
          </c:xVal>
          <c:yVal>
            <c:numRef>
              <c:f>'Result 3'!$B$27:$B$68</c:f>
              <c:numCache>
                <c:formatCode>General</c:formatCode>
                <c:ptCount val="42"/>
                <c:pt idx="0">
                  <c:v>2119.8707362080204</c:v>
                </c:pt>
                <c:pt idx="1">
                  <c:v>2458.2187086302142</c:v>
                </c:pt>
                <c:pt idx="2">
                  <c:v>2705.0459971010773</c:v>
                </c:pt>
                <c:pt idx="3">
                  <c:v>2962.3015693978796</c:v>
                </c:pt>
                <c:pt idx="4">
                  <c:v>3197.0084015684006</c:v>
                </c:pt>
                <c:pt idx="5">
                  <c:v>3450.5740220656076</c:v>
                </c:pt>
                <c:pt idx="6">
                  <c:v>3678.2237269187353</c:v>
                </c:pt>
                <c:pt idx="7">
                  <c:v>3848.9650749434322</c:v>
                </c:pt>
                <c:pt idx="8">
                  <c:v>4134.5474998734717</c:v>
                </c:pt>
                <c:pt idx="9">
                  <c:v>4451.0979780289645</c:v>
                </c:pt>
                <c:pt idx="10">
                  <c:v>4741.8608139244716</c:v>
                </c:pt>
                <c:pt idx="11">
                  <c:v>4973.0054134552629</c:v>
                </c:pt>
                <c:pt idx="12">
                  <c:v>5375.5167099378905</c:v>
                </c:pt>
                <c:pt idx="13">
                  <c:v>5651.0980409453896</c:v>
                </c:pt>
                <c:pt idx="14">
                  <c:v>5977.5159540620261</c:v>
                </c:pt>
                <c:pt idx="15">
                  <c:v>6278.9883237987206</c:v>
                </c:pt>
                <c:pt idx="16">
                  <c:v>6656.5163579043401</c:v>
                </c:pt>
                <c:pt idx="17">
                  <c:v>7076.9186164202074</c:v>
                </c:pt>
                <c:pt idx="18">
                  <c:v>7496.4379831803408</c:v>
                </c:pt>
                <c:pt idx="19">
                  <c:v>7982.6916826754623</c:v>
                </c:pt>
                <c:pt idx="20">
                  <c:v>8511.7366879901183</c:v>
                </c:pt>
                <c:pt idx="21">
                  <c:v>8821.3379291841738</c:v>
                </c:pt>
                <c:pt idx="22">
                  <c:v>9171.8509192367401</c:v>
                </c:pt>
                <c:pt idx="23">
                  <c:v>9666.3925289971703</c:v>
                </c:pt>
                <c:pt idx="24">
                  <c:v>10310.790911763823</c:v>
                </c:pt>
                <c:pt idx="25">
                  <c:v>10998.699517246909</c:v>
                </c:pt>
                <c:pt idx="26">
                  <c:v>11649.360684770401</c:v>
                </c:pt>
                <c:pt idx="27">
                  <c:v>12236.112612704661</c:v>
                </c:pt>
                <c:pt idx="28">
                  <c:v>12560.057386390397</c:v>
                </c:pt>
                <c:pt idx="29">
                  <c:v>12490.643921205772</c:v>
                </c:pt>
                <c:pt idx="30">
                  <c:v>13012.572944698204</c:v>
                </c:pt>
                <c:pt idx="31">
                  <c:v>13452.70266759046</c:v>
                </c:pt>
                <c:pt idx="32">
                  <c:v>13979.155338967348</c:v>
                </c:pt>
                <c:pt idx="33">
                  <c:v>14490.961729795225</c:v>
                </c:pt>
                <c:pt idx="34">
                  <c:v>15060.706315398656</c:v>
                </c:pt>
                <c:pt idx="35">
                  <c:v>15608.847572263756</c:v>
                </c:pt>
                <c:pt idx="36">
                  <c:v>16027.864290673913</c:v>
                </c:pt>
                <c:pt idx="37">
                  <c:v>16712.594194353489</c:v>
                </c:pt>
                <c:pt idx="38">
                  <c:v>17616.269928451286</c:v>
                </c:pt>
                <c:pt idx="39">
                  <c:v>18388.410813937808</c:v>
                </c:pt>
                <c:pt idx="40">
                  <c:v>18509.517303204255</c:v>
                </c:pt>
                <c:pt idx="41">
                  <c:v>20418.410190135648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B1-4635-8909-FFB55920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621151"/>
        <c:axId val="1218622591"/>
      </c:scatterChart>
      <c:valAx>
        <c:axId val="1218621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GDP Nominal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8622591"/>
        <c:crosses val="autoZero"/>
        <c:crossBetween val="midCat"/>
      </c:valAx>
      <c:valAx>
        <c:axId val="1218622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Personal Income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86211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Unemployment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Personal Income </c:v>
          </c:tx>
          <c:spPr>
            <a:ln w="19050">
              <a:noFill/>
            </a:ln>
          </c:spPr>
          <c:xVal>
            <c:numRef>
              <c:f>'Master Dataset'!$W$2:$W$43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xVal>
          <c:yVal>
            <c:numRef>
              <c:f>'Master Dataset'!$T$2:$T$43</c:f>
              <c:numCache>
                <c:formatCode>General</c:formatCode>
                <c:ptCount val="42"/>
                <c:pt idx="0">
                  <c:v>2324.5</c:v>
                </c:pt>
                <c:pt idx="1">
                  <c:v>2603.1999999999998</c:v>
                </c:pt>
                <c:pt idx="2">
                  <c:v>2789.5</c:v>
                </c:pt>
                <c:pt idx="3">
                  <c:v>2981.7</c:v>
                </c:pt>
                <c:pt idx="4">
                  <c:v>3288.7</c:v>
                </c:pt>
                <c:pt idx="5">
                  <c:v>3522.9</c:v>
                </c:pt>
                <c:pt idx="6">
                  <c:v>3731.2</c:v>
                </c:pt>
                <c:pt idx="7">
                  <c:v>3946.8</c:v>
                </c:pt>
                <c:pt idx="8">
                  <c:v>4280</c:v>
                </c:pt>
                <c:pt idx="9">
                  <c:v>4621</c:v>
                </c:pt>
                <c:pt idx="10">
                  <c:v>4913.3</c:v>
                </c:pt>
                <c:pt idx="11">
                  <c:v>5089.8999999999996</c:v>
                </c:pt>
                <c:pt idx="12">
                  <c:v>5417.5</c:v>
                </c:pt>
                <c:pt idx="13">
                  <c:v>5652.9</c:v>
                </c:pt>
                <c:pt idx="14">
                  <c:v>5940.9</c:v>
                </c:pt>
                <c:pt idx="15">
                  <c:v>6283.4</c:v>
                </c:pt>
                <c:pt idx="16">
                  <c:v>6666.2</c:v>
                </c:pt>
                <c:pt idx="17">
                  <c:v>7074</c:v>
                </c:pt>
                <c:pt idx="18">
                  <c:v>7588.4</c:v>
                </c:pt>
                <c:pt idx="19">
                  <c:v>7978.6</c:v>
                </c:pt>
                <c:pt idx="20">
                  <c:v>8621.2999999999993</c:v>
                </c:pt>
                <c:pt idx="21">
                  <c:v>8993.1</c:v>
                </c:pt>
                <c:pt idx="22">
                  <c:v>9150</c:v>
                </c:pt>
                <c:pt idx="23">
                  <c:v>9481.7999999999993</c:v>
                </c:pt>
                <c:pt idx="24">
                  <c:v>10015.9</c:v>
                </c:pt>
                <c:pt idx="25">
                  <c:v>10546.1</c:v>
                </c:pt>
                <c:pt idx="26">
                  <c:v>11302</c:v>
                </c:pt>
                <c:pt idx="27">
                  <c:v>11932.1</c:v>
                </c:pt>
                <c:pt idx="28">
                  <c:v>12425.7</c:v>
                </c:pt>
                <c:pt idx="29">
                  <c:v>12065.7</c:v>
                </c:pt>
                <c:pt idx="30">
                  <c:v>12556.6</c:v>
                </c:pt>
                <c:pt idx="31">
                  <c:v>13309.6</c:v>
                </c:pt>
                <c:pt idx="32">
                  <c:v>13917.8</c:v>
                </c:pt>
                <c:pt idx="33">
                  <c:v>14068.8</c:v>
                </c:pt>
                <c:pt idx="34">
                  <c:v>14784.1</c:v>
                </c:pt>
                <c:pt idx="35">
                  <c:v>15473.7</c:v>
                </c:pt>
                <c:pt idx="36">
                  <c:v>15887.7</c:v>
                </c:pt>
                <c:pt idx="37">
                  <c:v>16662.8</c:v>
                </c:pt>
                <c:pt idx="38">
                  <c:v>17528.2</c:v>
                </c:pt>
                <c:pt idx="39">
                  <c:v>18363.2</c:v>
                </c:pt>
                <c:pt idx="40">
                  <c:v>19631.7</c:v>
                </c:pt>
                <c:pt idx="41">
                  <c:v>21498.9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42-4390-B1FA-A54083A1E5E7}"/>
            </c:ext>
          </c:extLst>
        </c:ser>
        <c:ser>
          <c:idx val="1"/>
          <c:order val="1"/>
          <c:tx>
            <c:v>Predicted Personal Income </c:v>
          </c:tx>
          <c:spPr>
            <a:ln w="19050">
              <a:noFill/>
            </a:ln>
          </c:spPr>
          <c:xVal>
            <c:numRef>
              <c:f>'Master Dataset'!$W$2:$W$43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xVal>
          <c:yVal>
            <c:numRef>
              <c:f>'Result 3'!$B$27:$B$68</c:f>
              <c:numCache>
                <c:formatCode>General</c:formatCode>
                <c:ptCount val="42"/>
                <c:pt idx="0">
                  <c:v>2119.8707362080204</c:v>
                </c:pt>
                <c:pt idx="1">
                  <c:v>2458.2187086302142</c:v>
                </c:pt>
                <c:pt idx="2">
                  <c:v>2705.0459971010773</c:v>
                </c:pt>
                <c:pt idx="3">
                  <c:v>2962.3015693978796</c:v>
                </c:pt>
                <c:pt idx="4">
                  <c:v>3197.0084015684006</c:v>
                </c:pt>
                <c:pt idx="5">
                  <c:v>3450.5740220656076</c:v>
                </c:pt>
                <c:pt idx="6">
                  <c:v>3678.2237269187353</c:v>
                </c:pt>
                <c:pt idx="7">
                  <c:v>3848.9650749434322</c:v>
                </c:pt>
                <c:pt idx="8">
                  <c:v>4134.5474998734717</c:v>
                </c:pt>
                <c:pt idx="9">
                  <c:v>4451.0979780289645</c:v>
                </c:pt>
                <c:pt idx="10">
                  <c:v>4741.8608139244716</c:v>
                </c:pt>
                <c:pt idx="11">
                  <c:v>4973.0054134552629</c:v>
                </c:pt>
                <c:pt idx="12">
                  <c:v>5375.5167099378905</c:v>
                </c:pt>
                <c:pt idx="13">
                  <c:v>5651.0980409453896</c:v>
                </c:pt>
                <c:pt idx="14">
                  <c:v>5977.5159540620261</c:v>
                </c:pt>
                <c:pt idx="15">
                  <c:v>6278.9883237987206</c:v>
                </c:pt>
                <c:pt idx="16">
                  <c:v>6656.5163579043401</c:v>
                </c:pt>
                <c:pt idx="17">
                  <c:v>7076.9186164202074</c:v>
                </c:pt>
                <c:pt idx="18">
                  <c:v>7496.4379831803408</c:v>
                </c:pt>
                <c:pt idx="19">
                  <c:v>7982.6916826754623</c:v>
                </c:pt>
                <c:pt idx="20">
                  <c:v>8511.7366879901183</c:v>
                </c:pt>
                <c:pt idx="21">
                  <c:v>8821.3379291841738</c:v>
                </c:pt>
                <c:pt idx="22">
                  <c:v>9171.8509192367401</c:v>
                </c:pt>
                <c:pt idx="23">
                  <c:v>9666.3925289971703</c:v>
                </c:pt>
                <c:pt idx="24">
                  <c:v>10310.790911763823</c:v>
                </c:pt>
                <c:pt idx="25">
                  <c:v>10998.699517246909</c:v>
                </c:pt>
                <c:pt idx="26">
                  <c:v>11649.360684770401</c:v>
                </c:pt>
                <c:pt idx="27">
                  <c:v>12236.112612704661</c:v>
                </c:pt>
                <c:pt idx="28">
                  <c:v>12560.057386390397</c:v>
                </c:pt>
                <c:pt idx="29">
                  <c:v>12490.643921205772</c:v>
                </c:pt>
                <c:pt idx="30">
                  <c:v>13012.572944698204</c:v>
                </c:pt>
                <c:pt idx="31">
                  <c:v>13452.70266759046</c:v>
                </c:pt>
                <c:pt idx="32">
                  <c:v>13979.155338967348</c:v>
                </c:pt>
                <c:pt idx="33">
                  <c:v>14490.961729795225</c:v>
                </c:pt>
                <c:pt idx="34">
                  <c:v>15060.706315398656</c:v>
                </c:pt>
                <c:pt idx="35">
                  <c:v>15608.847572263756</c:v>
                </c:pt>
                <c:pt idx="36">
                  <c:v>16027.864290673913</c:v>
                </c:pt>
                <c:pt idx="37">
                  <c:v>16712.594194353489</c:v>
                </c:pt>
                <c:pt idx="38">
                  <c:v>17616.269928451286</c:v>
                </c:pt>
                <c:pt idx="39">
                  <c:v>18388.410813937808</c:v>
                </c:pt>
                <c:pt idx="40">
                  <c:v>18509.517303204255</c:v>
                </c:pt>
                <c:pt idx="41">
                  <c:v>20418.410190135648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42-4390-B1FA-A54083A1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904559"/>
        <c:axId val="1218593903"/>
      </c:scatterChart>
      <c:valAx>
        <c:axId val="1229904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Unemployment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8593903"/>
        <c:crosses val="autoZero"/>
        <c:crossBetween val="midCat"/>
      </c:valAx>
      <c:valAx>
        <c:axId val="1218593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Personal Income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9045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Coefficient Comparison Across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Visualization!$B$1</c:f>
              <c:strCache>
                <c:ptCount val="1"/>
                <c:pt idx="0">
                  <c:v>Immigration coefficient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BC-4AFC-98C1-3DE13588608D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Visualization!$A$2:$A$5</c:f>
              <c:strCache>
                <c:ptCount val="3"/>
                <c:pt idx="0">
                  <c:v>Model 1</c:v>
                </c:pt>
                <c:pt idx="1">
                  <c:v>Model 2</c:v>
                </c:pt>
                <c:pt idx="2">
                  <c:v>Model 3</c:v>
                </c:pt>
              </c:strCache>
            </c:strRef>
          </c:cat>
          <c:val>
            <c:numRef>
              <c:f>Visualization!$B$2:$B$5</c:f>
              <c:numCache>
                <c:formatCode>General</c:formatCode>
                <c:ptCount val="4"/>
                <c:pt idx="0">
                  <c:v>-2.4616383772250275E-6</c:v>
                </c:pt>
                <c:pt idx="1">
                  <c:v>-3.6248466193707542E-6</c:v>
                </c:pt>
                <c:pt idx="2">
                  <c:v>-5.4751728754763652E-5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C-4AFC-98C1-3DE135886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1950016"/>
        <c:axId val="1981943296"/>
      </c:barChart>
      <c:catAx>
        <c:axId val="198195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943296"/>
        <c:crosses val="autoZero"/>
        <c:auto val="1"/>
        <c:lblAlgn val="ctr"/>
        <c:lblOffset val="100"/>
        <c:noMultiLvlLbl val="0"/>
      </c:catAx>
      <c:valAx>
        <c:axId val="198194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95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Training R</a:t>
            </a:r>
            <a:r>
              <a:rPr lang="en-US" baseline="30000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Visualization!$K$1</c:f>
              <c:strCache>
                <c:ptCount val="1"/>
                <c:pt idx="0">
                  <c:v>Training 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Visualization!$J$2:$J$4</c:f>
              <c:strCache>
                <c:ptCount val="3"/>
                <c:pt idx="0">
                  <c:v>Model 1</c:v>
                </c:pt>
                <c:pt idx="1">
                  <c:v>Model 2</c:v>
                </c:pt>
                <c:pt idx="2">
                  <c:v>Model 3</c:v>
                </c:pt>
              </c:strCache>
            </c:strRef>
          </c:cat>
          <c:val>
            <c:numRef>
              <c:f>Visualization!$K$2:$K$4</c:f>
              <c:numCache>
                <c:formatCode>General</c:formatCode>
                <c:ptCount val="3"/>
                <c:pt idx="0">
                  <c:v>0.20846615602265164</c:v>
                </c:pt>
                <c:pt idx="1">
                  <c:v>0.24280363199928803</c:v>
                </c:pt>
                <c:pt idx="2">
                  <c:v>0.99874142385131204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B-4028-B889-C748F7658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92496"/>
        <c:axId val="3391536"/>
      </c:barChart>
      <c:catAx>
        <c:axId val="339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536"/>
        <c:crosses val="autoZero"/>
        <c:auto val="1"/>
        <c:lblAlgn val="ctr"/>
        <c:lblOffset val="100"/>
        <c:noMultiLvlLbl val="0"/>
      </c:catAx>
      <c:valAx>
        <c:axId val="3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'Testing Data'!$O$11</c:f>
              <c:strCache>
                <c:ptCount val="1"/>
                <c:pt idx="0">
                  <c:v>Actual Unemployment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'Testing Data'!$O$12:$O$17</c:f>
              <c:numCache>
                <c:formatCode>General</c:formatCode>
                <c:ptCount val="6"/>
                <c:pt idx="0">
                  <c:v>58.5</c:v>
                </c:pt>
                <c:pt idx="1">
                  <c:v>52.3</c:v>
                </c:pt>
                <c:pt idx="2">
                  <c:v>46.7</c:v>
                </c:pt>
                <c:pt idx="3">
                  <c:v>44.1</c:v>
                </c:pt>
                <c:pt idx="4">
                  <c:v>97.2</c:v>
                </c:pt>
                <c:pt idx="5">
                  <c:v>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9-4D45-9111-A5CAC8ED1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056"/>
        <c:axId val="4062176"/>
      </c:scatterChart>
      <c:valAx>
        <c:axId val="405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2176"/>
        <c:crosses val="autoZero"/>
        <c:crossBetween val="midCat"/>
      </c:valAx>
      <c:valAx>
        <c:axId val="406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'Testing Data'!$N$11</c:f>
              <c:strCache>
                <c:ptCount val="1"/>
                <c:pt idx="0">
                  <c:v>Predicted Unemployment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'Testing Data'!$N$12:$N$17</c:f>
              <c:numCache>
                <c:formatCode>General</c:formatCode>
                <c:ptCount val="6"/>
                <c:pt idx="0">
                  <c:v>635139.11538436508</c:v>
                </c:pt>
                <c:pt idx="1">
                  <c:v>609386.40949882439</c:v>
                </c:pt>
                <c:pt idx="2">
                  <c:v>483404.47318457905</c:v>
                </c:pt>
                <c:pt idx="3">
                  <c:v>415954.4296046106</c:v>
                </c:pt>
                <c:pt idx="4">
                  <c:v>240321.3135540568</c:v>
                </c:pt>
                <c:pt idx="5">
                  <c:v>370545.20567200176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C-4654-9021-CE4508CF8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2096"/>
        <c:axId val="4055936"/>
      </c:scatterChart>
      <c:valAx>
        <c:axId val="405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5936"/>
        <c:crosses val="autoZero"/>
        <c:crossBetween val="midCat"/>
      </c:valAx>
      <c:valAx>
        <c:axId val="40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'Testing Data'!$N$1</c:f>
              <c:strCache>
                <c:ptCount val="1"/>
                <c:pt idx="0">
                  <c:v>Predicted GDP Growth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'Testing Data'!$N$2:$N$7</c:f>
              <c:numCache>
                <c:formatCode>General</c:formatCode>
                <c:ptCount val="6"/>
                <c:pt idx="0">
                  <c:v>-3.3979603364257489</c:v>
                </c:pt>
                <c:pt idx="1">
                  <c:v>-4.6776007087209646</c:v>
                </c:pt>
                <c:pt idx="2">
                  <c:v>-4.6913785550577698</c:v>
                </c:pt>
                <c:pt idx="3">
                  <c:v>-3.9995498438119537</c:v>
                </c:pt>
                <c:pt idx="4">
                  <c:v>2.3676033249206729</c:v>
                </c:pt>
                <c:pt idx="5">
                  <c:v>-0.3697626326979222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D-495C-9F1A-26526974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469648"/>
        <c:axId val="1519470128"/>
      </c:scatterChart>
      <c:valAx>
        <c:axId val="151946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70128"/>
        <c:crosses val="autoZero"/>
        <c:crossBetween val="midCat"/>
      </c:valAx>
      <c:valAx>
        <c:axId val="15194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6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'Testing Data'!$O$1</c:f>
              <c:strCache>
                <c:ptCount val="1"/>
                <c:pt idx="0">
                  <c:v>Actual GDP Growth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'Testing Data'!$O$2:$O$7</c:f>
              <c:numCache>
                <c:formatCode>0.00</c:formatCode>
                <c:ptCount val="6"/>
                <c:pt idx="0">
                  <c:v>2.787100300628595</c:v>
                </c:pt>
                <c:pt idx="1">
                  <c:v>4.2924982318438127</c:v>
                </c:pt>
                <c:pt idx="2">
                  <c:v>5.3252838808694714</c:v>
                </c:pt>
                <c:pt idx="3">
                  <c:v>4.2771040592549561</c:v>
                </c:pt>
                <c:pt idx="4">
                  <c:v>-0.76462395543175821</c:v>
                </c:pt>
                <c:pt idx="5">
                  <c:v>10.995401234134723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40-4DB2-9787-FF024C22F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4976"/>
        <c:axId val="4053056"/>
      </c:scatterChart>
      <c:valAx>
        <c:axId val="405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056"/>
        <c:crosses val="autoZero"/>
        <c:crossBetween val="midCat"/>
      </c:valAx>
      <c:valAx>
        <c:axId val="40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'Testing Data'!$N$21</c:f>
              <c:strCache>
                <c:ptCount val="1"/>
                <c:pt idx="0">
                  <c:v>Predicted Income Growth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'Testing Data'!$N$22:$N$27</c:f>
              <c:numCache>
                <c:formatCode>General</c:formatCode>
                <c:ptCount val="6"/>
                <c:pt idx="0">
                  <c:v>15662.18124845176</c:v>
                </c:pt>
                <c:pt idx="1">
                  <c:v>16328.474438350233</c:v>
                </c:pt>
                <c:pt idx="2">
                  <c:v>17205.017214311276</c:v>
                </c:pt>
                <c:pt idx="3">
                  <c:v>17950.628416333686</c:v>
                </c:pt>
                <c:pt idx="4">
                  <c:v>17995.136444642649</c:v>
                </c:pt>
                <c:pt idx="5">
                  <c:v>19872.498795873169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71-4F37-8DE9-0BECA73B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39808"/>
        <c:axId val="90343168"/>
      </c:scatterChart>
      <c:valAx>
        <c:axId val="9033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3168"/>
        <c:crosses val="autoZero"/>
        <c:crossBetween val="midCat"/>
      </c:valAx>
      <c:valAx>
        <c:axId val="903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3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'Testing Data'!$O$21</c:f>
              <c:strCache>
                <c:ptCount val="1"/>
                <c:pt idx="0">
                  <c:v>Actual Income Growth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'Testing Data'!$O$22:$O$27</c:f>
              <c:numCache>
                <c:formatCode>General</c:formatCode>
                <c:ptCount val="6"/>
                <c:pt idx="0">
                  <c:v>18804.900000000001</c:v>
                </c:pt>
                <c:pt idx="1">
                  <c:v>19612.099999999999</c:v>
                </c:pt>
                <c:pt idx="2">
                  <c:v>20656.5</c:v>
                </c:pt>
                <c:pt idx="3">
                  <c:v>21540</c:v>
                </c:pt>
                <c:pt idx="4">
                  <c:v>21375.3</c:v>
                </c:pt>
                <c:pt idx="5">
                  <c:v>23725.599999999999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D-4508-B5DF-CFE9B3706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46096"/>
        <c:axId val="90344656"/>
      </c:scatterChart>
      <c:valAx>
        <c:axId val="9034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4656"/>
        <c:crosses val="autoZero"/>
        <c:crossBetween val="midCat"/>
      </c:valAx>
      <c:valAx>
        <c:axId val="903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Time Series of Immigration and Economic Indicators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Visualization!$AK$1</c:f>
              <c:strCache>
                <c:ptCount val="1"/>
                <c:pt idx="0">
                  <c:v>Net Immigration</c:v>
                </c:pt>
              </c:strCache>
            </c:strRef>
          </c:tx>
          <c:spPr>
            <a:ln w="31750" cap="rnd">
              <a:solidFill>
                <a:srgbClr val="00206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Visualization!$AJ$2:$AJ$43</c:f>
              <c:numCache>
                <c:formatCode>General</c:formatCode>
                <c:ptCount val="4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</c:numCache>
            </c:numRef>
          </c:cat>
          <c:val>
            <c:numRef>
              <c:f>Visualization!$AK$2:$AK$43</c:f>
              <c:numCache>
                <c:formatCode>#,##0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8-4B1F-9536-DC5C5A6C93DB}"/>
            </c:ext>
          </c:extLst>
        </c:ser>
        <c:ser>
          <c:idx val="2"/>
          <c:order val="2"/>
          <c:tx>
            <c:strRef>
              <c:f>Visualization!$AM$1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Visualization!$AJ$2:$AJ$43</c:f>
              <c:numCache>
                <c:formatCode>General</c:formatCode>
                <c:ptCount val="4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</c:numCache>
            </c:numRef>
          </c:cat>
          <c:val>
            <c:numRef>
              <c:f>Visualization!$AM$2:$AM$43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D8-4B1F-9536-DC5C5A6C9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378768"/>
        <c:axId val="1924380688"/>
      </c:lineChart>
      <c:lineChart>
        <c:grouping val="standard"/>
        <c:varyColors val="0"/>
        <c:ser>
          <c:idx val="1"/>
          <c:order val="1"/>
          <c:tx>
            <c:strRef>
              <c:f>Visualization!$AL$1</c:f>
              <c:strCache>
                <c:ptCount val="1"/>
                <c:pt idx="0">
                  <c:v>GDP Growth Rate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Visualization!$AJ$2:$AJ$43</c:f>
              <c:numCache>
                <c:formatCode>General</c:formatCode>
                <c:ptCount val="4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</c:numCache>
            </c:numRef>
          </c:cat>
          <c:val>
            <c:numRef>
              <c:f>Visualization!$AL$2:$AL$43</c:f>
              <c:numCache>
                <c:formatCode>General</c:formatCode>
                <c:ptCount val="42"/>
                <c:pt idx="1">
                  <c:v>12.238826864522444</c:v>
                </c:pt>
                <c:pt idx="2">
                  <c:v>4.2656688493919601</c:v>
                </c:pt>
                <c:pt idx="3">
                  <c:v>8.6787487289909624</c:v>
                </c:pt>
                <c:pt idx="4">
                  <c:v>11.106219042377543</c:v>
                </c:pt>
                <c:pt idx="5">
                  <c:v>7.4648305924311504</c:v>
                </c:pt>
                <c:pt idx="6">
                  <c:v>5.5450564646231939</c:v>
                </c:pt>
                <c:pt idx="7">
                  <c:v>6.0179928378024155</c:v>
                </c:pt>
                <c:pt idx="8">
                  <c:v>7.8513758444554256</c:v>
                </c:pt>
                <c:pt idx="9">
                  <c:v>7.7381407073562132</c:v>
                </c:pt>
                <c:pt idx="10">
                  <c:v>5.698737946681792</c:v>
                </c:pt>
                <c:pt idx="11">
                  <c:v>3.2701111837802483</c:v>
                </c:pt>
                <c:pt idx="12">
                  <c:v>5.8816842857374807</c:v>
                </c:pt>
                <c:pt idx="13">
                  <c:v>5.1884115761544738</c:v>
                </c:pt>
                <c:pt idx="14">
                  <c:v>6.249088735310405</c:v>
                </c:pt>
                <c:pt idx="15">
                  <c:v>4.8372488747392683</c:v>
                </c:pt>
                <c:pt idx="16">
                  <c:v>5.6729976307970285</c:v>
                </c:pt>
                <c:pt idx="17">
                  <c:v>6.2491484064361895</c:v>
                </c:pt>
                <c:pt idx="18">
                  <c:v>5.6565939190449415</c:v>
                </c:pt>
                <c:pt idx="19">
                  <c:v>6.2717923820453008</c:v>
                </c:pt>
                <c:pt idx="20">
                  <c:v>6.435335160727627</c:v>
                </c:pt>
                <c:pt idx="21">
                  <c:v>3.2279777582674827</c:v>
                </c:pt>
                <c:pt idx="22">
                  <c:v>3.2810742872263083</c:v>
                </c:pt>
                <c:pt idx="23">
                  <c:v>4.8256489555407089</c:v>
                </c:pt>
                <c:pt idx="24">
                  <c:v>6.6398987474359599</c:v>
                </c:pt>
                <c:pt idx="25">
                  <c:v>6.7282192319025631</c:v>
                </c:pt>
                <c:pt idx="26">
                  <c:v>5.9543530277931129</c:v>
                </c:pt>
                <c:pt idx="27">
                  <c:v>4.7670749008367377</c:v>
                </c:pt>
                <c:pt idx="28">
                  <c:v>2.0429453786737706</c:v>
                </c:pt>
                <c:pt idx="29">
                  <c:v>-1.9756396454952252</c:v>
                </c:pt>
                <c:pt idx="30">
                  <c:v>3.9431969664527777</c:v>
                </c:pt>
                <c:pt idx="31">
                  <c:v>3.6593793607548726</c:v>
                </c:pt>
                <c:pt idx="32">
                  <c:v>4.1943114290659391</c:v>
                </c:pt>
                <c:pt idx="33">
                  <c:v>3.855666297526767</c:v>
                </c:pt>
                <c:pt idx="34">
                  <c:v>4.3090630127897409</c:v>
                </c:pt>
                <c:pt idx="35">
                  <c:v>3.9010455415405496</c:v>
                </c:pt>
                <c:pt idx="36">
                  <c:v>2.787100300628595</c:v>
                </c:pt>
                <c:pt idx="37">
                  <c:v>4.2924982318438127</c:v>
                </c:pt>
                <c:pt idx="38">
                  <c:v>5.3252838808694714</c:v>
                </c:pt>
                <c:pt idx="39">
                  <c:v>4.2771040592549561</c:v>
                </c:pt>
                <c:pt idx="40">
                  <c:v>-0.76462395543175821</c:v>
                </c:pt>
                <c:pt idx="41">
                  <c:v>10.995401234134723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D8-4B1F-9536-DC5C5A6C93DB}"/>
            </c:ext>
          </c:extLst>
        </c:ser>
        <c:ser>
          <c:idx val="3"/>
          <c:order val="3"/>
          <c:tx>
            <c:strRef>
              <c:f>Visualization!$AN$1</c:f>
              <c:strCache>
                <c:ptCount val="1"/>
                <c:pt idx="0">
                  <c:v>Personal Income 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Visualization!$AJ$2:$AJ$43</c:f>
              <c:numCache>
                <c:formatCode>General</c:formatCode>
                <c:ptCount val="4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</c:numCache>
            </c:numRef>
          </c:cat>
          <c:val>
            <c:numRef>
              <c:f>Visualization!$AN$2:$AN$43</c:f>
              <c:numCache>
                <c:formatCode>General</c:formatCode>
                <c:ptCount val="42"/>
                <c:pt idx="0">
                  <c:v>2324.5</c:v>
                </c:pt>
                <c:pt idx="1">
                  <c:v>2603.1999999999998</c:v>
                </c:pt>
                <c:pt idx="2">
                  <c:v>2789.5</c:v>
                </c:pt>
                <c:pt idx="3">
                  <c:v>2981.7</c:v>
                </c:pt>
                <c:pt idx="4">
                  <c:v>3288.7</c:v>
                </c:pt>
                <c:pt idx="5">
                  <c:v>3522.9</c:v>
                </c:pt>
                <c:pt idx="6">
                  <c:v>3731.2</c:v>
                </c:pt>
                <c:pt idx="7">
                  <c:v>3946.8</c:v>
                </c:pt>
                <c:pt idx="8">
                  <c:v>4280</c:v>
                </c:pt>
                <c:pt idx="9">
                  <c:v>4621</c:v>
                </c:pt>
                <c:pt idx="10">
                  <c:v>4913.3</c:v>
                </c:pt>
                <c:pt idx="11">
                  <c:v>5089.8999999999996</c:v>
                </c:pt>
                <c:pt idx="12">
                  <c:v>5417.5</c:v>
                </c:pt>
                <c:pt idx="13">
                  <c:v>5652.9</c:v>
                </c:pt>
                <c:pt idx="14">
                  <c:v>5940.9</c:v>
                </c:pt>
                <c:pt idx="15">
                  <c:v>6283.4</c:v>
                </c:pt>
                <c:pt idx="16">
                  <c:v>6666.2</c:v>
                </c:pt>
                <c:pt idx="17">
                  <c:v>7074</c:v>
                </c:pt>
                <c:pt idx="18">
                  <c:v>7588.4</c:v>
                </c:pt>
                <c:pt idx="19">
                  <c:v>7978.6</c:v>
                </c:pt>
                <c:pt idx="20">
                  <c:v>8621.2999999999993</c:v>
                </c:pt>
                <c:pt idx="21">
                  <c:v>8993.1</c:v>
                </c:pt>
                <c:pt idx="22">
                  <c:v>9150</c:v>
                </c:pt>
                <c:pt idx="23">
                  <c:v>9481.7999999999993</c:v>
                </c:pt>
                <c:pt idx="24">
                  <c:v>10015.9</c:v>
                </c:pt>
                <c:pt idx="25">
                  <c:v>10546.1</c:v>
                </c:pt>
                <c:pt idx="26">
                  <c:v>11302</c:v>
                </c:pt>
                <c:pt idx="27">
                  <c:v>11932.1</c:v>
                </c:pt>
                <c:pt idx="28">
                  <c:v>12425.7</c:v>
                </c:pt>
                <c:pt idx="29">
                  <c:v>12065.7</c:v>
                </c:pt>
                <c:pt idx="30">
                  <c:v>12556.6</c:v>
                </c:pt>
                <c:pt idx="31">
                  <c:v>13309.6</c:v>
                </c:pt>
                <c:pt idx="32">
                  <c:v>13917.8</c:v>
                </c:pt>
                <c:pt idx="33">
                  <c:v>14068.8</c:v>
                </c:pt>
                <c:pt idx="34">
                  <c:v>14784.1</c:v>
                </c:pt>
                <c:pt idx="35">
                  <c:v>15473.7</c:v>
                </c:pt>
                <c:pt idx="36">
                  <c:v>15887.7</c:v>
                </c:pt>
                <c:pt idx="37">
                  <c:v>16662.8</c:v>
                </c:pt>
                <c:pt idx="38">
                  <c:v>17528.2</c:v>
                </c:pt>
                <c:pt idx="39">
                  <c:v>18363.2</c:v>
                </c:pt>
                <c:pt idx="40">
                  <c:v>19631.7</c:v>
                </c:pt>
                <c:pt idx="41">
                  <c:v>21498.9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D8-4B1F-9536-DC5C5A6C9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2656"/>
        <c:axId val="90349456"/>
      </c:lineChart>
      <c:dateAx>
        <c:axId val="192437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80688"/>
        <c:crosses val="autoZero"/>
        <c:auto val="0"/>
        <c:lblOffset val="100"/>
        <c:baseTimeUnit val="days"/>
      </c:dateAx>
      <c:valAx>
        <c:axId val="192438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78768"/>
        <c:crossesAt val="1980"/>
        <c:crossBetween val="midCat"/>
      </c:valAx>
      <c:valAx>
        <c:axId val="90349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2656"/>
        <c:crosses val="max"/>
        <c:crossBetween val="between"/>
      </c:valAx>
      <c:catAx>
        <c:axId val="406265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945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Visualization!$AL$1</c:f>
              <c:strCache>
                <c:ptCount val="1"/>
                <c:pt idx="0">
                  <c:v>GDP Growth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Visualization!$AJ$2:$AJ$43</c:f>
              <c:numCache>
                <c:formatCode>General</c:formatCode>
                <c:ptCount val="4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</c:numCache>
            </c:numRef>
          </c:cat>
          <c:val>
            <c:numRef>
              <c:f>Visualization!$AL$2:$AL$43</c:f>
              <c:numCache>
                <c:formatCode>General</c:formatCode>
                <c:ptCount val="42"/>
                <c:pt idx="1">
                  <c:v>12.238826864522444</c:v>
                </c:pt>
                <c:pt idx="2">
                  <c:v>4.2656688493919601</c:v>
                </c:pt>
                <c:pt idx="3">
                  <c:v>8.6787487289909624</c:v>
                </c:pt>
                <c:pt idx="4">
                  <c:v>11.106219042377543</c:v>
                </c:pt>
                <c:pt idx="5">
                  <c:v>7.4648305924311504</c:v>
                </c:pt>
                <c:pt idx="6">
                  <c:v>5.5450564646231939</c:v>
                </c:pt>
                <c:pt idx="7">
                  <c:v>6.0179928378024155</c:v>
                </c:pt>
                <c:pt idx="8">
                  <c:v>7.8513758444554256</c:v>
                </c:pt>
                <c:pt idx="9">
                  <c:v>7.7381407073562132</c:v>
                </c:pt>
                <c:pt idx="10">
                  <c:v>5.698737946681792</c:v>
                </c:pt>
                <c:pt idx="11">
                  <c:v>3.2701111837802483</c:v>
                </c:pt>
                <c:pt idx="12">
                  <c:v>5.8816842857374807</c:v>
                </c:pt>
                <c:pt idx="13">
                  <c:v>5.1884115761544738</c:v>
                </c:pt>
                <c:pt idx="14">
                  <c:v>6.249088735310405</c:v>
                </c:pt>
                <c:pt idx="15">
                  <c:v>4.8372488747392683</c:v>
                </c:pt>
                <c:pt idx="16">
                  <c:v>5.6729976307970285</c:v>
                </c:pt>
                <c:pt idx="17">
                  <c:v>6.2491484064361895</c:v>
                </c:pt>
                <c:pt idx="18">
                  <c:v>5.6565939190449415</c:v>
                </c:pt>
                <c:pt idx="19">
                  <c:v>6.2717923820453008</c:v>
                </c:pt>
                <c:pt idx="20">
                  <c:v>6.435335160727627</c:v>
                </c:pt>
                <c:pt idx="21">
                  <c:v>3.2279777582674827</c:v>
                </c:pt>
                <c:pt idx="22">
                  <c:v>3.2810742872263083</c:v>
                </c:pt>
                <c:pt idx="23">
                  <c:v>4.8256489555407089</c:v>
                </c:pt>
                <c:pt idx="24">
                  <c:v>6.6398987474359599</c:v>
                </c:pt>
                <c:pt idx="25">
                  <c:v>6.7282192319025631</c:v>
                </c:pt>
                <c:pt idx="26">
                  <c:v>5.9543530277931129</c:v>
                </c:pt>
                <c:pt idx="27">
                  <c:v>4.7670749008367377</c:v>
                </c:pt>
                <c:pt idx="28">
                  <c:v>2.0429453786737706</c:v>
                </c:pt>
                <c:pt idx="29">
                  <c:v>-1.9756396454952252</c:v>
                </c:pt>
                <c:pt idx="30">
                  <c:v>3.9431969664527777</c:v>
                </c:pt>
                <c:pt idx="31">
                  <c:v>3.6593793607548726</c:v>
                </c:pt>
                <c:pt idx="32">
                  <c:v>4.1943114290659391</c:v>
                </c:pt>
                <c:pt idx="33">
                  <c:v>3.855666297526767</c:v>
                </c:pt>
                <c:pt idx="34">
                  <c:v>4.3090630127897409</c:v>
                </c:pt>
                <c:pt idx="35">
                  <c:v>3.9010455415405496</c:v>
                </c:pt>
                <c:pt idx="36">
                  <c:v>2.787100300628595</c:v>
                </c:pt>
                <c:pt idx="37">
                  <c:v>4.2924982318438127</c:v>
                </c:pt>
                <c:pt idx="38">
                  <c:v>5.3252838808694714</c:v>
                </c:pt>
                <c:pt idx="39">
                  <c:v>4.2771040592549561</c:v>
                </c:pt>
                <c:pt idx="40">
                  <c:v>-0.76462395543175821</c:v>
                </c:pt>
                <c:pt idx="41">
                  <c:v>10.995401234134723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3-443F-8BD0-70C12878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41072"/>
        <c:axId val="122442512"/>
      </c:lineChart>
      <c:catAx>
        <c:axId val="12244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42512"/>
        <c:crosses val="autoZero"/>
        <c:auto val="1"/>
        <c:lblAlgn val="ctr"/>
        <c:lblOffset val="100"/>
        <c:noMultiLvlLbl val="0"/>
      </c:catAx>
      <c:valAx>
        <c:axId val="1224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4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Visualization!$AK$1</c:f>
              <c:strCache>
                <c:ptCount val="1"/>
                <c:pt idx="0">
                  <c:v>Net Immigration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Visualization!$AJ$2:$AJ$43</c:f>
              <c:numCache>
                <c:formatCode>General</c:formatCode>
                <c:ptCount val="4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</c:numCache>
            </c:numRef>
          </c:cat>
          <c:val>
            <c:numRef>
              <c:f>Visualization!$AK$2:$AK$43</c:f>
              <c:numCache>
                <c:formatCode>#,##0</c:formatCode>
                <c:ptCount val="42"/>
                <c:pt idx="0">
                  <c:v>-5813</c:v>
                </c:pt>
                <c:pt idx="1">
                  <c:v>-86988</c:v>
                </c:pt>
                <c:pt idx="2">
                  <c:v>-196068</c:v>
                </c:pt>
                <c:pt idx="3">
                  <c:v>-339541</c:v>
                </c:pt>
                <c:pt idx="4">
                  <c:v>-316325</c:v>
                </c:pt>
                <c:pt idx="5">
                  <c:v>-428548</c:v>
                </c:pt>
                <c:pt idx="6">
                  <c:v>-948739</c:v>
                </c:pt>
                <c:pt idx="7">
                  <c:v>-451122</c:v>
                </c:pt>
                <c:pt idx="8">
                  <c:v>-219790</c:v>
                </c:pt>
                <c:pt idx="9">
                  <c:v>331925</c:v>
                </c:pt>
                <c:pt idx="10">
                  <c:v>605366</c:v>
                </c:pt>
                <c:pt idx="11">
                  <c:v>845690</c:v>
                </c:pt>
                <c:pt idx="12">
                  <c:v>-60507</c:v>
                </c:pt>
                <c:pt idx="13">
                  <c:v>-267855</c:v>
                </c:pt>
                <c:pt idx="14">
                  <c:v>-159108</c:v>
                </c:pt>
                <c:pt idx="15">
                  <c:v>-545538</c:v>
                </c:pt>
                <c:pt idx="16">
                  <c:v>-652127</c:v>
                </c:pt>
                <c:pt idx="17">
                  <c:v>-687616</c:v>
                </c:pt>
                <c:pt idx="18">
                  <c:v>-1015022</c:v>
                </c:pt>
                <c:pt idx="19">
                  <c:v>-1027905</c:v>
                </c:pt>
                <c:pt idx="20">
                  <c:v>-951176</c:v>
                </c:pt>
                <c:pt idx="21">
                  <c:v>-410575</c:v>
                </c:pt>
                <c:pt idx="22">
                  <c:v>-91143</c:v>
                </c:pt>
                <c:pt idx="23">
                  <c:v>-424564</c:v>
                </c:pt>
                <c:pt idx="24">
                  <c:v>-396518</c:v>
                </c:pt>
                <c:pt idx="25">
                  <c:v>-167356</c:v>
                </c:pt>
                <c:pt idx="26">
                  <c:v>-17132</c:v>
                </c:pt>
                <c:pt idx="27">
                  <c:v>-110139</c:v>
                </c:pt>
                <c:pt idx="28">
                  <c:v>-3825</c:v>
                </c:pt>
                <c:pt idx="29">
                  <c:v>243114</c:v>
                </c:pt>
                <c:pt idx="30">
                  <c:v>261671</c:v>
                </c:pt>
                <c:pt idx="31">
                  <c:v>405965</c:v>
                </c:pt>
                <c:pt idx="32">
                  <c:v>443126</c:v>
                </c:pt>
                <c:pt idx="33">
                  <c:v>449288</c:v>
                </c:pt>
                <c:pt idx="34">
                  <c:v>517631</c:v>
                </c:pt>
                <c:pt idx="35">
                  <c:v>667012</c:v>
                </c:pt>
                <c:pt idx="36">
                  <c:v>829752</c:v>
                </c:pt>
                <c:pt idx="37">
                  <c:v>796106</c:v>
                </c:pt>
                <c:pt idx="38">
                  <c:v>631502</c:v>
                </c:pt>
                <c:pt idx="39">
                  <c:v>543373</c:v>
                </c:pt>
                <c:pt idx="40">
                  <c:v>313888</c:v>
                </c:pt>
                <c:pt idx="41">
                  <c:v>484038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0-4EE2-A12F-0F58A55F7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035472"/>
        <c:axId val="381036432"/>
      </c:lineChart>
      <c:catAx>
        <c:axId val="38103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36432"/>
        <c:crosses val="autoZero"/>
        <c:auto val="1"/>
        <c:lblAlgn val="ctr"/>
        <c:lblOffset val="100"/>
        <c:noMultiLvlLbl val="0"/>
      </c:catAx>
      <c:valAx>
        <c:axId val="3810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3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Visualization!$AM$1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Visualization!$AJ$2:$AJ$43</c:f>
              <c:numCache>
                <c:formatCode>General</c:formatCode>
                <c:ptCount val="4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</c:numCache>
            </c:numRef>
          </c:cat>
          <c:val>
            <c:numRef>
              <c:f>Visualization!$AM$2:$AM$43</c:f>
              <c:numCache>
                <c:formatCode>General</c:formatCode>
                <c:ptCount val="42"/>
                <c:pt idx="0">
                  <c:v>86.1</c:v>
                </c:pt>
                <c:pt idx="1">
                  <c:v>91.4</c:v>
                </c:pt>
                <c:pt idx="2">
                  <c:v>116.5</c:v>
                </c:pt>
                <c:pt idx="3">
                  <c:v>115.2</c:v>
                </c:pt>
                <c:pt idx="4">
                  <c:v>90.1</c:v>
                </c:pt>
                <c:pt idx="5">
                  <c:v>86.3</c:v>
                </c:pt>
                <c:pt idx="6">
                  <c:v>84</c:v>
                </c:pt>
                <c:pt idx="7">
                  <c:v>74.099999999999994</c:v>
                </c:pt>
                <c:pt idx="8">
                  <c:v>65.900000000000006</c:v>
                </c:pt>
                <c:pt idx="9">
                  <c:v>63.1</c:v>
                </c:pt>
                <c:pt idx="10">
                  <c:v>67.400000000000006</c:v>
                </c:pt>
                <c:pt idx="11">
                  <c:v>82.2</c:v>
                </c:pt>
                <c:pt idx="12">
                  <c:v>89.9</c:v>
                </c:pt>
                <c:pt idx="13">
                  <c:v>82.9</c:v>
                </c:pt>
                <c:pt idx="14">
                  <c:v>73.2</c:v>
                </c:pt>
                <c:pt idx="15">
                  <c:v>67.099999999999994</c:v>
                </c:pt>
                <c:pt idx="16">
                  <c:v>64.900000000000006</c:v>
                </c:pt>
                <c:pt idx="17">
                  <c:v>59.3</c:v>
                </c:pt>
                <c:pt idx="18">
                  <c:v>54</c:v>
                </c:pt>
                <c:pt idx="19">
                  <c:v>50.6</c:v>
                </c:pt>
                <c:pt idx="20">
                  <c:v>47.6</c:v>
                </c:pt>
                <c:pt idx="21">
                  <c:v>56.9</c:v>
                </c:pt>
                <c:pt idx="22">
                  <c:v>69.400000000000006</c:v>
                </c:pt>
                <c:pt idx="23">
                  <c:v>71.900000000000006</c:v>
                </c:pt>
                <c:pt idx="24">
                  <c:v>66.5</c:v>
                </c:pt>
                <c:pt idx="25">
                  <c:v>61</c:v>
                </c:pt>
                <c:pt idx="26">
                  <c:v>55.3</c:v>
                </c:pt>
                <c:pt idx="27">
                  <c:v>55.4</c:v>
                </c:pt>
                <c:pt idx="28">
                  <c:v>69.599999999999994</c:v>
                </c:pt>
                <c:pt idx="29">
                  <c:v>111.4</c:v>
                </c:pt>
                <c:pt idx="30">
                  <c:v>115.3</c:v>
                </c:pt>
                <c:pt idx="31">
                  <c:v>107.2</c:v>
                </c:pt>
                <c:pt idx="32">
                  <c:v>96.9</c:v>
                </c:pt>
                <c:pt idx="33">
                  <c:v>88.3</c:v>
                </c:pt>
                <c:pt idx="34">
                  <c:v>73.900000000000006</c:v>
                </c:pt>
                <c:pt idx="35">
                  <c:v>63.3</c:v>
                </c:pt>
                <c:pt idx="36">
                  <c:v>58.5</c:v>
                </c:pt>
                <c:pt idx="37">
                  <c:v>52.3</c:v>
                </c:pt>
                <c:pt idx="38">
                  <c:v>46.7</c:v>
                </c:pt>
                <c:pt idx="39">
                  <c:v>44.1</c:v>
                </c:pt>
                <c:pt idx="40">
                  <c:v>97.2</c:v>
                </c:pt>
                <c:pt idx="41">
                  <c:v>64.3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39-48EC-B6D7-F0E298F94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035952"/>
        <c:axId val="381033552"/>
      </c:lineChart>
      <c:catAx>
        <c:axId val="38103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33552"/>
        <c:crosses val="autoZero"/>
        <c:auto val="1"/>
        <c:lblAlgn val="ctr"/>
        <c:lblOffset val="100"/>
        <c:noMultiLvlLbl val="0"/>
      </c:catAx>
      <c:valAx>
        <c:axId val="3810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3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Outliner Detection  using Boxplots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Outliner Detection  using Boxplots </a:t>
          </a:r>
        </a:p>
      </cx:txPr>
    </cx:title>
    <cx:plotArea>
      <cx:plotAreaRegion>
        <cx:series layoutId="boxWhisker" uniqueId="{C746EFFF-5126-49A2-9439-DED6257789A7}">
          <cx:tx>
            <cx:txData>
              <cx:f>_xlchart.v1.0</cx:f>
              <cx:v>Net Immigration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F45465E-F434-4181-864D-461BE3DD15EE}">
          <cx:tx>
            <cx:txData>
              <cx:f>_xlchart.v1.2</cx:f>
              <cx:v>GDP Growth Rate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microsoft.com/office/2014/relationships/chartEx" Target="../charts/chartEx1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130396</xdr:colOff>
      <xdr:row>1</xdr:row>
      <xdr:rowOff>75558</xdr:rowOff>
    </xdr:from>
    <xdr:to>
      <xdr:col>19</xdr:col>
      <xdr:colOff>130395</xdr:colOff>
      <xdr:row>11</xdr:row>
      <xdr:rowOff>75558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47677-5E7F-4490-78BB-8C6DAAF73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137516</xdr:colOff>
      <xdr:row>11</xdr:row>
      <xdr:rowOff>153896</xdr:rowOff>
    </xdr:from>
    <xdr:to>
      <xdr:col>19</xdr:col>
      <xdr:colOff>137516</xdr:colOff>
      <xdr:row>21</xdr:row>
      <xdr:rowOff>146775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B807DA-A612-5C02-2513-DBED6B603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201610</xdr:colOff>
      <xdr:row>22</xdr:row>
      <xdr:rowOff>182382</xdr:rowOff>
    </xdr:from>
    <xdr:to>
      <xdr:col>19</xdr:col>
      <xdr:colOff>201610</xdr:colOff>
      <xdr:row>33</xdr:row>
      <xdr:rowOff>11466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417E90-6B94-21ED-0594-96F5508BA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522077</xdr:colOff>
      <xdr:row>22</xdr:row>
      <xdr:rowOff>146775</xdr:rowOff>
    </xdr:from>
    <xdr:to>
      <xdr:col>25</xdr:col>
      <xdr:colOff>522077</xdr:colOff>
      <xdr:row>32</xdr:row>
      <xdr:rowOff>168139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A4ED48-6FDC-96AC-2B1B-C0598943E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500712</xdr:colOff>
      <xdr:row>12</xdr:row>
      <xdr:rowOff>39951</xdr:rowOff>
    </xdr:from>
    <xdr:to>
      <xdr:col>25</xdr:col>
      <xdr:colOff>500713</xdr:colOff>
      <xdr:row>22</xdr:row>
      <xdr:rowOff>39951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99DD79-34B1-1D54-ACD2-D2CAA87CE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479349</xdr:colOff>
      <xdr:row>1</xdr:row>
      <xdr:rowOff>61316</xdr:rowOff>
    </xdr:from>
    <xdr:to>
      <xdr:col>25</xdr:col>
      <xdr:colOff>479349</xdr:colOff>
      <xdr:row>11</xdr:row>
      <xdr:rowOff>61317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F2E98A-0194-6D95-1E8A-AFB93658E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0</xdr:row>
      <xdr:rowOff>137160</xdr:rowOff>
    </xdr:from>
    <xdr:to>
      <xdr:col>16</xdr:col>
      <xdr:colOff>304800</xdr:colOff>
      <xdr:row>10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B7D07-1D78-33BF-138D-1D6DF0291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11</xdr:row>
      <xdr:rowOff>152400</xdr:rowOff>
    </xdr:from>
    <xdr:to>
      <xdr:col>16</xdr:col>
      <xdr:colOff>304800</xdr:colOff>
      <xdr:row>21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AAC0AE-5218-7934-D45B-F82588BCA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510540</xdr:colOff>
      <xdr:row>0</xdr:row>
      <xdr:rowOff>152400</xdr:rowOff>
    </xdr:from>
    <xdr:to>
      <xdr:col>22</xdr:col>
      <xdr:colOff>510540</xdr:colOff>
      <xdr:row>10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84A44B-B8B6-5D32-0779-9400140FB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556260</xdr:colOff>
      <xdr:row>12</xdr:row>
      <xdr:rowOff>7620</xdr:rowOff>
    </xdr:from>
    <xdr:to>
      <xdr:col>22</xdr:col>
      <xdr:colOff>556260</xdr:colOff>
      <xdr:row>22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D7F9A3-FDB3-A9AE-9D78-DCA94EAD9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594360</xdr:colOff>
      <xdr:row>22</xdr:row>
      <xdr:rowOff>160020</xdr:rowOff>
    </xdr:from>
    <xdr:to>
      <xdr:col>22</xdr:col>
      <xdr:colOff>594360</xdr:colOff>
      <xdr:row>32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A13B99-7071-9D46-B646-FC123D43E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320040</xdr:colOff>
      <xdr:row>22</xdr:row>
      <xdr:rowOff>76200</xdr:rowOff>
    </xdr:from>
    <xdr:to>
      <xdr:col>16</xdr:col>
      <xdr:colOff>320040</xdr:colOff>
      <xdr:row>32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856B0E-6938-8E7D-00A1-36FD4BE9F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587829</xdr:colOff>
      <xdr:row>11</xdr:row>
      <xdr:rowOff>58782</xdr:rowOff>
    </xdr:from>
    <xdr:to>
      <xdr:col>16</xdr:col>
      <xdr:colOff>587829</xdr:colOff>
      <xdr:row>21</xdr:row>
      <xdr:rowOff>58782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932CC-D0E2-8596-3613-341B83F72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44631</xdr:colOff>
      <xdr:row>21</xdr:row>
      <xdr:rowOff>125186</xdr:rowOff>
    </xdr:from>
    <xdr:to>
      <xdr:col>23</xdr:col>
      <xdr:colOff>44631</xdr:colOff>
      <xdr:row>31</xdr:row>
      <xdr:rowOff>132806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211339-1936-4B3B-4C5F-112A3E4D8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588917</xdr:colOff>
      <xdr:row>0</xdr:row>
      <xdr:rowOff>181792</xdr:rowOff>
    </xdr:from>
    <xdr:to>
      <xdr:col>16</xdr:col>
      <xdr:colOff>588917</xdr:colOff>
      <xdr:row>10</xdr:row>
      <xdr:rowOff>181792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87D046-7880-90B7-FA11-34F6F6658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590006</xdr:colOff>
      <xdr:row>21</xdr:row>
      <xdr:rowOff>105592</xdr:rowOff>
    </xdr:from>
    <xdr:to>
      <xdr:col>16</xdr:col>
      <xdr:colOff>590006</xdr:colOff>
      <xdr:row>31</xdr:row>
      <xdr:rowOff>128452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8CC1EF-AAAC-5C59-7EC3-C33238E6D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25038</xdr:colOff>
      <xdr:row>11</xdr:row>
      <xdr:rowOff>65314</xdr:rowOff>
    </xdr:from>
    <xdr:to>
      <xdr:col>23</xdr:col>
      <xdr:colOff>25038</xdr:colOff>
      <xdr:row>21</xdr:row>
      <xdr:rowOff>65314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095AAF-9F74-6D72-F973-352252811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37011</xdr:colOff>
      <xdr:row>1</xdr:row>
      <xdr:rowOff>1088</xdr:rowOff>
    </xdr:from>
    <xdr:to>
      <xdr:col>23</xdr:col>
      <xdr:colOff>37011</xdr:colOff>
      <xdr:row>11</xdr:row>
      <xdr:rowOff>1088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B7B35C-6874-9878-5FFD-20F47993F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45720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3C2A34-7B33-91D6-65BD-307C28145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579120</xdr:colOff>
      <xdr:row>0</xdr:row>
      <xdr:rowOff>0</xdr:rowOff>
    </xdr:from>
    <xdr:to>
      <xdr:col>14</xdr:col>
      <xdr:colOff>274320</xdr:colOff>
      <xdr:row>14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DE2433-0784-0FE2-CB41-085E4A783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60960</xdr:colOff>
      <xdr:row>15</xdr:row>
      <xdr:rowOff>91440</xdr:rowOff>
    </xdr:from>
    <xdr:to>
      <xdr:col>14</xdr:col>
      <xdr:colOff>7620</xdr:colOff>
      <xdr:row>26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A1EAAA-F9A6-4720-BE34-86657BE23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563880</xdr:colOff>
      <xdr:row>16</xdr:row>
      <xdr:rowOff>53340</xdr:rowOff>
    </xdr:from>
    <xdr:to>
      <xdr:col>6</xdr:col>
      <xdr:colOff>502920</xdr:colOff>
      <xdr:row>26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3E2DAB-A831-4C85-B10F-9BBCDA061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563880</xdr:colOff>
      <xdr:row>9</xdr:row>
      <xdr:rowOff>0</xdr:rowOff>
    </xdr:from>
    <xdr:to>
      <xdr:col>21</xdr:col>
      <xdr:colOff>373380</xdr:colOff>
      <xdr:row>21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921295-4370-473C-AB1F-E9FC0ACEF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295448</xdr:colOff>
      <xdr:row>9</xdr:row>
      <xdr:rowOff>0</xdr:rowOff>
    </xdr:from>
    <xdr:to>
      <xdr:col>29</xdr:col>
      <xdr:colOff>87630</xdr:colOff>
      <xdr:row>21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5FF964-2F8A-4C17-BDE9-B6A86838E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350520</xdr:colOff>
      <xdr:row>23</xdr:row>
      <xdr:rowOff>49530</xdr:rowOff>
    </xdr:from>
    <xdr:to>
      <xdr:col>21</xdr:col>
      <xdr:colOff>266700</xdr:colOff>
      <xdr:row>38</xdr:row>
      <xdr:rowOff>49530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F889ED-CBA5-4F8C-B28F-03D0ABAD3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409575</xdr:colOff>
      <xdr:row>22</xdr:row>
      <xdr:rowOff>137160</xdr:rowOff>
    </xdr:from>
    <xdr:to>
      <xdr:col>29</xdr:col>
      <xdr:colOff>104775</xdr:colOff>
      <xdr:row>37</xdr:row>
      <xdr:rowOff>137160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38B066-D9EC-455E-B56E-552DF5213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852098</xdr:colOff>
      <xdr:row>37</xdr:row>
      <xdr:rowOff>27221</xdr:rowOff>
    </xdr:from>
    <xdr:to>
      <xdr:col>30</xdr:col>
      <xdr:colOff>146242</xdr:colOff>
      <xdr:row>62</xdr:row>
      <xdr:rowOff>92363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AF38A27-2E9E-025C-88F9-88E3C6F99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15394</xdr:colOff>
      <xdr:row>27</xdr:row>
      <xdr:rowOff>153940</xdr:rowOff>
    </xdr:from>
    <xdr:to>
      <xdr:col>8</xdr:col>
      <xdr:colOff>69273</xdr:colOff>
      <xdr:row>42</xdr:row>
      <xdr:rowOff>126231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5491C2-7FEF-4CB8-8E81-AE6C482C0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369454</xdr:colOff>
      <xdr:row>27</xdr:row>
      <xdr:rowOff>133157</xdr:rowOff>
    </xdr:from>
    <xdr:to>
      <xdr:col>16</xdr:col>
      <xdr:colOff>76969</xdr:colOff>
      <xdr:row>42</xdr:row>
      <xdr:rowOff>105448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10BE8B8-28C8-4EE7-2ACF-1233D0036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584969</xdr:colOff>
      <xdr:row>43</xdr:row>
      <xdr:rowOff>86975</xdr:rowOff>
    </xdr:from>
    <xdr:to>
      <xdr:col>8</xdr:col>
      <xdr:colOff>30787</xdr:colOff>
      <xdr:row>58</xdr:row>
      <xdr:rowOff>59266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6DD7CCA-3EC3-B5B5-F726-3D05CDF57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16</xdr:col>
      <xdr:colOff>315575</xdr:colOff>
      <xdr:row>57</xdr:row>
      <xdr:rowOff>157019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6B34C78D-DE20-4C19-BF41-5D0987237B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5480" y="7886700"/>
              <a:ext cx="4582775" cy="2717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44947-1A82-4233-B3E9-76647DC4C7D5}" name="Table1" displayName="Table1" ref="A1:D14" totalsRowShown="0" headerRowDxfId="26" dataDxfId="25">
  <autoFilter ref="A1:D14" xr:uid="{AD644947-1A82-4233-B3E9-76647DC4C7D5}"/>
  <tableColumns count="4">
    <tableColumn id="1" xr3:uid="{CB142C28-3942-4B9F-A7F6-C2F73BEEE472}" name="Metrics " dataDxfId="24"/>
    <tableColumn id="2" xr3:uid="{A0331816-AF1C-4461-BAB9-6B8CDC60CBE2}" name="Model 1 - GDP growth " dataDxfId="23"/>
    <tableColumn id="3" xr3:uid="{E85DCA8C-1E88-45D6-8A48-7DA9A257176B}" name="Model 2 - Unemployment" dataDxfId="22"/>
    <tableColumn id="4" xr3:uid="{F26B0E30-261F-4E28-982A-FDC5540CDA76}" name="Model 3 - Income growth " dataDxfId="2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0B5762-9309-4B36-9343-D9AB4F44D717}" name="Table3" displayName="Table3" ref="A17:E24" totalsRowShown="0" headerRowDxfId="20" dataDxfId="19">
  <autoFilter ref="A17:E24" xr:uid="{490B5762-9309-4B36-9343-D9AB4F44D717}"/>
  <sortState xmlns:xlrd2="http://schemas.microsoft.com/office/spreadsheetml/2017/richdata2" ref="A18:E24">
    <sortCondition ref="C17:C24"/>
  </sortState>
  <tableColumns count="5">
    <tableColumn id="1" xr3:uid="{51565DD7-4929-40C2-B636-9C0EEA543F29}" name="Variable " dataDxfId="18"/>
    <tableColumn id="2" xr3:uid="{66CF1635-B1FB-4195-8DAB-A94F3D446B5F}" name="Model " dataDxfId="17"/>
    <tableColumn id="3" xr3:uid="{3B29BBD9-93CF-45A2-8149-CA617C49C938}" name="Coefficient " dataDxfId="16"/>
    <tableColumn id="4" xr3:uid="{B9D082E9-EC16-44B8-8A92-8660C7F96902}" name="P-value " dataDxfId="15"/>
    <tableColumn id="5" xr3:uid="{695A7AC1-7659-4CFE-8EB3-97437B891B45}" name="Effect on DV" dataDxfId="1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9531B3-3E38-48E3-A21F-288E76E3ACAC}" name="Table35" displayName="Table35" ref="A29:E36" totalsRowShown="0" headerRowDxfId="13" dataDxfId="12">
  <autoFilter ref="A29:E36" xr:uid="{2F9531B3-3E38-48E3-A21F-288E76E3ACAC}"/>
  <sortState xmlns:xlrd2="http://schemas.microsoft.com/office/spreadsheetml/2017/richdata2" ref="A30:E36">
    <sortCondition ref="D29:D36"/>
  </sortState>
  <tableColumns count="5">
    <tableColumn id="1" xr3:uid="{7A4A46C3-9D87-4E76-9C92-3DFC0AAE3707}" name="Variable " dataDxfId="11"/>
    <tableColumn id="2" xr3:uid="{A5512C83-59C7-44FD-97B0-D067369883E7}" name="Model " dataDxfId="10"/>
    <tableColumn id="3" xr3:uid="{0A8824E8-31DC-4CC4-A53D-D52FBBB563DB}" name="Coefficient " dataDxfId="9"/>
    <tableColumn id="4" xr3:uid="{A6D4FF19-4D9F-414E-B81A-DE6A8EF5A35E}" name="P-value " dataDxfId="8"/>
    <tableColumn id="5" xr3:uid="{679F6B53-8FBF-48DF-88E5-A473687A5C85}" name="Effect on DV" dataDxfId="7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10E9-7343-4939-8FA1-7E9F17BE146B}">
  <dimension ref="A1:F37"/>
  <sheetViews>
    <sheetView tabSelected="1" zoomScale="99" zoomScaleNormal="99" workbookViewId="0">
      <selection activeCell="G7" sqref="G7"/>
    </sheetView>
  </sheetViews>
  <sheetFormatPr defaultRowHeight="14.4" x14ac:dyDescent="0.3"/>
  <cols>
    <col min="1" max="1" width="43.88671875" customWidth="1"/>
    <col min="2" max="2" width="21.77734375" customWidth="1"/>
    <col min="3" max="4" width="24.5546875" customWidth="1"/>
    <col min="5" max="5" width="30" customWidth="1"/>
    <col min="6" max="6" width="12.77734375" customWidth="1"/>
  </cols>
  <sheetData>
    <row r="1" spans="1:6" x14ac:dyDescent="0.3">
      <c r="A1" s="9" t="s">
        <v>245</v>
      </c>
      <c r="B1" s="9" t="s">
        <v>253</v>
      </c>
      <c r="C1" s="20" t="s">
        <v>254</v>
      </c>
      <c r="D1" s="20" t="s">
        <v>255</v>
      </c>
      <c r="E1" s="10"/>
      <c r="F1" s="10"/>
    </row>
    <row r="2" spans="1:6" x14ac:dyDescent="0.3">
      <c r="A2" s="9" t="s">
        <v>246</v>
      </c>
      <c r="B2" s="1"/>
      <c r="C2" s="1"/>
      <c r="D2" s="1"/>
      <c r="E2" s="19"/>
    </row>
    <row r="3" spans="1:6" ht="16.2" x14ac:dyDescent="0.3">
      <c r="A3" s="9" t="s">
        <v>264</v>
      </c>
      <c r="B3" s="1">
        <f>'Training Data'!P6</f>
        <v>0.20846615602265164</v>
      </c>
      <c r="C3" s="1">
        <f>'Training Data'!P29</f>
        <v>0.24280363199928803</v>
      </c>
      <c r="D3" s="1">
        <f>'Training Data'!P54</f>
        <v>0.99874142385131204</v>
      </c>
      <c r="E3" s="19"/>
    </row>
    <row r="4" spans="1:6" ht="16.2" x14ac:dyDescent="0.3">
      <c r="A4" s="9" t="s">
        <v>265</v>
      </c>
      <c r="B4" s="1">
        <f>'Training Data'!P7</f>
        <v>0.13425985814977523</v>
      </c>
      <c r="C4" s="1">
        <f>'Training Data'!P30</f>
        <v>0.17396759854467786</v>
      </c>
      <c r="D4" s="1">
        <f>'Training Data'!P55</f>
        <v>0.9986270078377949</v>
      </c>
      <c r="E4" s="19"/>
    </row>
    <row r="5" spans="1:6" x14ac:dyDescent="0.3">
      <c r="A5" s="9" t="s">
        <v>247</v>
      </c>
      <c r="B5" s="1">
        <f>'Training Data'!T13</f>
        <v>5.5187725947779522E-2</v>
      </c>
      <c r="C5" s="1">
        <f>'Training Data'!T36</f>
        <v>2.5412066349136127E-2</v>
      </c>
      <c r="D5" s="1">
        <f>'Training Data'!T61</f>
        <v>6.5860689396606994E-48</v>
      </c>
    </row>
    <row r="6" spans="1:6" x14ac:dyDescent="0.3">
      <c r="A6" s="9" t="s">
        <v>248</v>
      </c>
      <c r="B6" s="1">
        <f>'Training Data'!P19</f>
        <v>-2.4616383772250275E-6</v>
      </c>
      <c r="C6" s="1">
        <f>'Training Data'!P43</f>
        <v>-3.6248466193707542E-6</v>
      </c>
      <c r="D6" s="1">
        <f>'Training Data'!P67</f>
        <v>-5.4751728754763652E-5</v>
      </c>
    </row>
    <row r="7" spans="1:6" x14ac:dyDescent="0.3">
      <c r="A7" s="9" t="s">
        <v>249</v>
      </c>
      <c r="B7" s="1">
        <f>'Training Data'!S19</f>
        <v>0.52651081141744893</v>
      </c>
      <c r="C7" s="1">
        <f>'Training Data'!S43</f>
        <v>0.73593183870224221</v>
      </c>
      <c r="D7" s="1">
        <f>'Training Data'!S67</f>
        <v>0.34840961905088086</v>
      </c>
    </row>
    <row r="8" spans="1:6" x14ac:dyDescent="0.3">
      <c r="A8" s="9" t="s">
        <v>250</v>
      </c>
      <c r="B8" s="1" t="s">
        <v>266</v>
      </c>
      <c r="C8" s="1" t="s">
        <v>266</v>
      </c>
      <c r="D8" s="1" t="s">
        <v>266</v>
      </c>
    </row>
    <row r="9" spans="1:6" x14ac:dyDescent="0.3">
      <c r="A9" s="1"/>
      <c r="B9" s="1"/>
      <c r="C9" s="1"/>
      <c r="D9" s="1"/>
    </row>
    <row r="10" spans="1:6" x14ac:dyDescent="0.3">
      <c r="A10" s="9" t="s">
        <v>251</v>
      </c>
      <c r="B10" s="1"/>
      <c r="C10" s="1"/>
      <c r="D10" s="1"/>
    </row>
    <row r="11" spans="1:6" x14ac:dyDescent="0.3">
      <c r="A11" s="9" t="s">
        <v>219</v>
      </c>
      <c r="B11" s="1">
        <f>'Testing Data'!B10</f>
        <v>7.990977843966391</v>
      </c>
      <c r="C11" s="1">
        <f>'Testing Data'!B17</f>
        <v>459064.64114973956</v>
      </c>
      <c r="D11" s="1">
        <f>'Testing Data'!B23</f>
        <v>3450.0772403395381</v>
      </c>
    </row>
    <row r="12" spans="1:6" x14ac:dyDescent="0.3">
      <c r="A12" s="9" t="s">
        <v>223</v>
      </c>
      <c r="B12" s="1">
        <f>'Testing Data'!B11</f>
        <v>8.4314092705961805</v>
      </c>
      <c r="C12" s="1">
        <f>'Testing Data'!B18</f>
        <v>478921.5855102411</v>
      </c>
      <c r="D12" s="1">
        <f>'Testing Data'!B24</f>
        <v>3457.5302918942775</v>
      </c>
    </row>
    <row r="13" spans="1:6" x14ac:dyDescent="0.3">
      <c r="A13" s="9" t="s">
        <v>220</v>
      </c>
      <c r="B13" s="21">
        <f>'Testing Data'!B12</f>
        <v>2.2091694297072419</v>
      </c>
      <c r="C13" s="21">
        <f>'Testing Data'!B19</f>
        <v>8420.2284756894533</v>
      </c>
      <c r="D13" s="21">
        <f>'Testing Data'!B25</f>
        <v>0.16480243055848867</v>
      </c>
    </row>
    <row r="14" spans="1:6" x14ac:dyDescent="0.3">
      <c r="A14" s="9" t="s">
        <v>252</v>
      </c>
      <c r="B14" s="1" t="s">
        <v>267</v>
      </c>
      <c r="C14" s="1" t="s">
        <v>267</v>
      </c>
      <c r="D14" s="1" t="s">
        <v>267</v>
      </c>
    </row>
    <row r="15" spans="1:6" x14ac:dyDescent="0.3">
      <c r="A15" s="1"/>
      <c r="B15" s="1"/>
      <c r="C15" s="1"/>
      <c r="D15" s="1"/>
      <c r="E15" s="1"/>
    </row>
    <row r="16" spans="1:6" x14ac:dyDescent="0.3">
      <c r="A16" s="9" t="s">
        <v>256</v>
      </c>
      <c r="B16" s="1"/>
      <c r="C16" s="1"/>
      <c r="D16" s="1"/>
      <c r="E16" s="1"/>
    </row>
    <row r="17" spans="1:5" x14ac:dyDescent="0.3">
      <c r="A17" s="9" t="s">
        <v>258</v>
      </c>
      <c r="B17" s="9" t="s">
        <v>240</v>
      </c>
      <c r="C17" s="9" t="s">
        <v>259</v>
      </c>
      <c r="D17" s="9" t="s">
        <v>260</v>
      </c>
      <c r="E17" s="9" t="s">
        <v>261</v>
      </c>
    </row>
    <row r="18" spans="1:5" ht="28.8" x14ac:dyDescent="0.3">
      <c r="A18" s="9" t="s">
        <v>263</v>
      </c>
      <c r="B18" s="1" t="s">
        <v>230</v>
      </c>
      <c r="C18" s="1">
        <f>$D$6</f>
        <v>-5.4751728754763652E-5</v>
      </c>
      <c r="D18" s="1">
        <f>$D$7</f>
        <v>0.34840961905088086</v>
      </c>
      <c r="E18" s="23" t="s">
        <v>268</v>
      </c>
    </row>
    <row r="19" spans="1:5" ht="28.8" x14ac:dyDescent="0.3">
      <c r="A19" s="9" t="s">
        <v>263</v>
      </c>
      <c r="B19" s="1" t="s">
        <v>229</v>
      </c>
      <c r="C19" s="1">
        <f>$C$6</f>
        <v>-3.6248466193707542E-6</v>
      </c>
      <c r="D19" s="1">
        <f>$C$7</f>
        <v>0.73593183870224221</v>
      </c>
      <c r="E19" s="23" t="s">
        <v>269</v>
      </c>
    </row>
    <row r="20" spans="1:5" ht="28.8" x14ac:dyDescent="0.3">
      <c r="A20" s="9" t="s">
        <v>263</v>
      </c>
      <c r="B20" s="1" t="s">
        <v>228</v>
      </c>
      <c r="C20" s="1">
        <f>$B$6</f>
        <v>-2.4616383772250275E-6</v>
      </c>
      <c r="D20" s="1">
        <f>$B$7</f>
        <v>0.52651081141744893</v>
      </c>
      <c r="E20" s="23" t="s">
        <v>270</v>
      </c>
    </row>
    <row r="21" spans="1:5" ht="28.8" x14ac:dyDescent="0.3">
      <c r="A21" s="9" t="s">
        <v>176</v>
      </c>
      <c r="B21" s="1" t="s">
        <v>228</v>
      </c>
      <c r="C21" s="1">
        <f>'Training Data'!$P$20</f>
        <v>0.10181284298629376</v>
      </c>
      <c r="D21" s="1">
        <f>'Training Data'!$S$20</f>
        <v>0.10370822136676104</v>
      </c>
      <c r="E21" s="23" t="s">
        <v>271</v>
      </c>
    </row>
    <row r="22" spans="1:5" ht="28.8" x14ac:dyDescent="0.3">
      <c r="A22" s="9" t="s">
        <v>257</v>
      </c>
      <c r="B22" s="1" t="s">
        <v>229</v>
      </c>
      <c r="C22" s="1">
        <f>'Training Data'!$P$42</f>
        <v>0.76536121443510252</v>
      </c>
      <c r="D22" s="1">
        <f>'Training Data'!$S$42</f>
        <v>0.10969375659431581</v>
      </c>
      <c r="E22" s="23" t="s">
        <v>272</v>
      </c>
    </row>
    <row r="23" spans="1:5" ht="28.8" x14ac:dyDescent="0.3">
      <c r="A23" s="9" t="s">
        <v>262</v>
      </c>
      <c r="B23" s="1" t="s">
        <v>230</v>
      </c>
      <c r="C23" s="1">
        <f>'Training Data'!$P$68</f>
        <v>0.84797793549900802</v>
      </c>
      <c r="D23" s="1">
        <f>'Training Data'!$S$68</f>
        <v>1.0242023339803876E-47</v>
      </c>
      <c r="E23" s="23" t="s">
        <v>273</v>
      </c>
    </row>
    <row r="24" spans="1:5" ht="28.8" x14ac:dyDescent="0.3">
      <c r="A24" s="9" t="s">
        <v>176</v>
      </c>
      <c r="B24" s="1" t="s">
        <v>230</v>
      </c>
      <c r="C24" s="1">
        <f>'Training Data'!$P$69</f>
        <v>3.2317381132271339</v>
      </c>
      <c r="D24" s="1">
        <f>'Training Data'!$S$69</f>
        <v>2.5316354562226997E-2</v>
      </c>
      <c r="E24" s="23" t="s">
        <v>274</v>
      </c>
    </row>
    <row r="25" spans="1:5" x14ac:dyDescent="0.3">
      <c r="A25" s="1"/>
      <c r="B25" s="1"/>
      <c r="C25" s="1"/>
      <c r="D25" s="1"/>
      <c r="E25" s="1"/>
    </row>
    <row r="28" spans="1:5" x14ac:dyDescent="0.3">
      <c r="A28" s="9" t="s">
        <v>275</v>
      </c>
      <c r="B28" s="1"/>
      <c r="C28" s="1"/>
      <c r="D28" s="1"/>
      <c r="E28" s="1"/>
    </row>
    <row r="29" spans="1:5" x14ac:dyDescent="0.3">
      <c r="A29" s="9" t="s">
        <v>258</v>
      </c>
      <c r="B29" s="9" t="s">
        <v>240</v>
      </c>
      <c r="C29" s="9" t="s">
        <v>259</v>
      </c>
      <c r="D29" s="9" t="s">
        <v>260</v>
      </c>
      <c r="E29" s="9" t="s">
        <v>261</v>
      </c>
    </row>
    <row r="30" spans="1:5" ht="72" x14ac:dyDescent="0.3">
      <c r="A30" s="9" t="s">
        <v>262</v>
      </c>
      <c r="B30" s="1" t="s">
        <v>230</v>
      </c>
      <c r="C30" s="1">
        <f>'Training Data'!$P$68</f>
        <v>0.84797793549900802</v>
      </c>
      <c r="D30" s="1">
        <f>'Training Data'!$S$68</f>
        <v>1.0242023339803876E-47</v>
      </c>
      <c r="E30" s="22" t="s">
        <v>276</v>
      </c>
    </row>
    <row r="31" spans="1:5" ht="100.8" x14ac:dyDescent="0.3">
      <c r="A31" s="9" t="s">
        <v>176</v>
      </c>
      <c r="B31" s="1" t="s">
        <v>230</v>
      </c>
      <c r="C31" s="1">
        <f>'Training Data'!$P$69</f>
        <v>3.2317381132271339</v>
      </c>
      <c r="D31" s="1">
        <f>'Training Data'!$S$69</f>
        <v>2.5316354562226997E-2</v>
      </c>
      <c r="E31" s="23" t="s">
        <v>277</v>
      </c>
    </row>
    <row r="32" spans="1:5" ht="57.6" x14ac:dyDescent="0.3">
      <c r="A32" s="9" t="s">
        <v>176</v>
      </c>
      <c r="B32" s="1" t="s">
        <v>228</v>
      </c>
      <c r="C32" s="1">
        <f>'Training Data'!$P$20</f>
        <v>0.10181284298629376</v>
      </c>
      <c r="D32" s="1">
        <f>'Training Data'!$S$20</f>
        <v>0.10370822136676104</v>
      </c>
      <c r="E32" s="22" t="s">
        <v>278</v>
      </c>
    </row>
    <row r="33" spans="1:5" ht="57.6" x14ac:dyDescent="0.3">
      <c r="A33" s="9" t="s">
        <v>257</v>
      </c>
      <c r="B33" s="1" t="s">
        <v>229</v>
      </c>
      <c r="C33" s="1">
        <f>'Training Data'!$P$42</f>
        <v>0.76536121443510252</v>
      </c>
      <c r="D33" s="1">
        <f>'Training Data'!$S$42</f>
        <v>0.10969375659431581</v>
      </c>
      <c r="E33" s="22" t="s">
        <v>279</v>
      </c>
    </row>
    <row r="34" spans="1:5" ht="28.8" x14ac:dyDescent="0.3">
      <c r="A34" s="9" t="s">
        <v>263</v>
      </c>
      <c r="B34" s="1" t="s">
        <v>230</v>
      </c>
      <c r="C34" s="1">
        <f>$D$6</f>
        <v>-5.4751728754763652E-5</v>
      </c>
      <c r="D34" s="1">
        <f>$D$7</f>
        <v>0.34840961905088086</v>
      </c>
      <c r="E34" s="23" t="s">
        <v>268</v>
      </c>
    </row>
    <row r="35" spans="1:5" ht="28.8" x14ac:dyDescent="0.3">
      <c r="A35" s="9" t="s">
        <v>263</v>
      </c>
      <c r="B35" s="1" t="s">
        <v>228</v>
      </c>
      <c r="C35" s="1">
        <f>$B$6</f>
        <v>-2.4616383772250275E-6</v>
      </c>
      <c r="D35" s="1">
        <f>$B$7</f>
        <v>0.52651081141744893</v>
      </c>
      <c r="E35" s="23" t="s">
        <v>270</v>
      </c>
    </row>
    <row r="36" spans="1:5" ht="28.8" x14ac:dyDescent="0.3">
      <c r="A36" s="9" t="s">
        <v>263</v>
      </c>
      <c r="B36" s="1" t="s">
        <v>229</v>
      </c>
      <c r="C36" s="1">
        <f>$C$6</f>
        <v>-3.6248466193707542E-6</v>
      </c>
      <c r="D36" s="1">
        <f>$C$7</f>
        <v>0.73593183870224221</v>
      </c>
      <c r="E36" s="23" t="s">
        <v>269</v>
      </c>
    </row>
    <row r="37" spans="1:5" x14ac:dyDescent="0.3">
      <c r="A37" s="1"/>
      <c r="B37" s="1"/>
      <c r="C37" s="1"/>
      <c r="D37" s="1"/>
      <c r="E37" s="1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DC7D-3DC7-47D2-B371-51BDE834155C}">
  <dimension ref="A1:W48"/>
  <sheetViews>
    <sheetView zoomScale="98" zoomScaleNormal="98" workbookViewId="0">
      <selection activeCell="J10" sqref="J10"/>
    </sheetView>
  </sheetViews>
  <sheetFormatPr defaultRowHeight="14.4" x14ac:dyDescent="0.3"/>
  <cols>
    <col min="2" max="2" width="19.6640625" customWidth="1"/>
    <col min="3" max="3" width="21" customWidth="1"/>
    <col min="4" max="4" width="21.21875" customWidth="1"/>
    <col min="5" max="5" width="20.88671875" customWidth="1"/>
    <col min="6" max="6" width="21.6640625" customWidth="1"/>
    <col min="7" max="7" width="25.21875" customWidth="1"/>
    <col min="8" max="8" width="23.88671875" customWidth="1"/>
    <col min="9" max="9" width="17.6640625" customWidth="1"/>
    <col min="10" max="10" width="17.5546875" customWidth="1"/>
    <col min="11" max="11" width="19.33203125" customWidth="1"/>
    <col min="12" max="12" width="18.88671875" customWidth="1"/>
    <col min="13" max="13" width="19.21875" customWidth="1"/>
    <col min="15" max="15" width="18.88671875" customWidth="1"/>
    <col min="16" max="16" width="15.6640625" customWidth="1"/>
    <col min="17" max="17" width="16.44140625" customWidth="1"/>
    <col min="18" max="18" width="16.109375" customWidth="1"/>
    <col min="20" max="20" width="17.6640625" customWidth="1"/>
    <col min="21" max="21" width="20.21875" customWidth="1"/>
    <col min="22" max="22" width="14.21875" customWidth="1"/>
    <col min="23" max="23" width="22.109375" customWidth="1"/>
  </cols>
  <sheetData>
    <row r="1" spans="1:23" x14ac:dyDescent="0.3">
      <c r="A1" s="9" t="s">
        <v>0</v>
      </c>
      <c r="B1" s="9" t="s">
        <v>166</v>
      </c>
      <c r="C1" s="9" t="s">
        <v>169</v>
      </c>
      <c r="D1" s="9" t="s">
        <v>170</v>
      </c>
      <c r="E1" s="9" t="s">
        <v>171</v>
      </c>
      <c r="F1" s="9" t="s">
        <v>172</v>
      </c>
      <c r="G1" s="9" t="s">
        <v>173</v>
      </c>
      <c r="H1" s="9" t="s">
        <v>184</v>
      </c>
      <c r="I1" s="9" t="s">
        <v>185</v>
      </c>
      <c r="J1" s="9"/>
      <c r="K1" s="9" t="s">
        <v>166</v>
      </c>
      <c r="L1" s="9" t="str">
        <f>G1</f>
        <v>Unemployment Rate</v>
      </c>
      <c r="M1" s="9" t="str">
        <f>H1</f>
        <v>Immigration Lag1</v>
      </c>
      <c r="N1" s="9"/>
      <c r="O1" s="9" t="str">
        <f>G1</f>
        <v>Unemployment Rate</v>
      </c>
      <c r="P1" s="9" t="str">
        <f>E1</f>
        <v>GDP Growth Rate</v>
      </c>
      <c r="Q1" s="9" t="str">
        <f>B1</f>
        <v>Net Immigration</v>
      </c>
      <c r="R1" s="10" t="str">
        <f>H1</f>
        <v>Immigration Lag1</v>
      </c>
      <c r="S1" s="10"/>
      <c r="T1" s="10" t="str">
        <f>F1</f>
        <v xml:space="preserve">Personal Income </v>
      </c>
      <c r="U1" s="10" t="str">
        <f>B1</f>
        <v>Net Immigration</v>
      </c>
      <c r="V1" s="10" t="str">
        <f>D1</f>
        <v>GDP Nominal</v>
      </c>
      <c r="W1" s="10" t="str">
        <f>G1</f>
        <v>Unemployment Rate</v>
      </c>
    </row>
    <row r="2" spans="1:23" x14ac:dyDescent="0.3">
      <c r="A2" s="1">
        <v>1980</v>
      </c>
      <c r="B2" s="2">
        <f>VLOOKUP(A2,'Raw_Imigration data'!A:G, 7, FALSE)</f>
        <v>-5813</v>
      </c>
      <c r="C2" s="1">
        <f>VLOOKUP(A2,'Raw_Imigration data'!A:H, 8, FALSE)</f>
        <v>-2325.1999999999998</v>
      </c>
      <c r="D2" s="1">
        <f>'Raw_Gross Domestic Product '!B3</f>
        <v>2857.3</v>
      </c>
      <c r="E2" s="1"/>
      <c r="F2" s="1">
        <f>'Raw_Personal Income and Its Dis'!C3</f>
        <v>2324.5</v>
      </c>
      <c r="G2" s="1">
        <f>Raw_Unemployment!B2</f>
        <v>86.1</v>
      </c>
      <c r="H2" s="1"/>
      <c r="I2" s="1"/>
      <c r="J2" s="1"/>
      <c r="K2" s="2">
        <f>B2</f>
        <v>-5813</v>
      </c>
      <c r="L2" s="1">
        <f t="shared" ref="L2:L43" si="0">G2</f>
        <v>86.1</v>
      </c>
      <c r="M2" s="1">
        <f t="shared" ref="M2:M43" si="1">H2</f>
        <v>0</v>
      </c>
      <c r="N2" s="1"/>
      <c r="O2" s="1">
        <f t="shared" ref="O2:O43" si="2">G2</f>
        <v>86.1</v>
      </c>
      <c r="P2" s="1">
        <f t="shared" ref="P2:P43" si="3">E2</f>
        <v>0</v>
      </c>
      <c r="Q2" s="1">
        <f t="shared" ref="Q2:Q43" si="4">B2</f>
        <v>-5813</v>
      </c>
      <c r="R2">
        <f t="shared" ref="R2:R43" si="5">H2</f>
        <v>0</v>
      </c>
      <c r="T2">
        <f t="shared" ref="T2:T43" si="6">F2</f>
        <v>2324.5</v>
      </c>
      <c r="U2">
        <f t="shared" ref="U2:U43" si="7">B2</f>
        <v>-5813</v>
      </c>
      <c r="V2">
        <f t="shared" ref="V2:V43" si="8">D2</f>
        <v>2857.3</v>
      </c>
      <c r="W2">
        <f t="shared" ref="W2:W43" si="9">G2</f>
        <v>86.1</v>
      </c>
    </row>
    <row r="3" spans="1:23" x14ac:dyDescent="0.3">
      <c r="A3" s="1">
        <v>1981</v>
      </c>
      <c r="B3" s="2">
        <f>VLOOKUP(A3,'Raw_Imigration data'!A:G, 7, FALSE)</f>
        <v>-86988</v>
      </c>
      <c r="C3" s="1">
        <f>VLOOKUP(A3,'Raw_Imigration data'!A:H, 8, FALSE)</f>
        <v>-34795.199999999997</v>
      </c>
      <c r="D3" s="1">
        <f>'Raw_Gross Domestic Product '!C3</f>
        <v>3207</v>
      </c>
      <c r="E3" s="11">
        <f>((D3-D2)/D2)*100</f>
        <v>12.238826864522444</v>
      </c>
      <c r="F3" s="1">
        <f>'Raw_Personal Income and Its Dis'!D3</f>
        <v>2603.1999999999998</v>
      </c>
      <c r="G3" s="1">
        <f>Raw_Unemployment!B3</f>
        <v>91.4</v>
      </c>
      <c r="H3" s="2">
        <f>B2</f>
        <v>-5813</v>
      </c>
      <c r="I3" s="1">
        <f>E2</f>
        <v>0</v>
      </c>
      <c r="J3" s="1"/>
      <c r="K3" s="2">
        <f t="shared" ref="K3:K43" si="10">B3</f>
        <v>-86988</v>
      </c>
      <c r="L3" s="1">
        <f t="shared" si="0"/>
        <v>91.4</v>
      </c>
      <c r="M3" s="1">
        <f t="shared" si="1"/>
        <v>-5813</v>
      </c>
      <c r="N3" s="1"/>
      <c r="O3" s="1">
        <f t="shared" si="2"/>
        <v>91.4</v>
      </c>
      <c r="P3" s="1">
        <f t="shared" si="3"/>
        <v>12.238826864522444</v>
      </c>
      <c r="Q3" s="1">
        <f t="shared" si="4"/>
        <v>-86988</v>
      </c>
      <c r="R3">
        <f t="shared" si="5"/>
        <v>-5813</v>
      </c>
      <c r="T3">
        <f t="shared" si="6"/>
        <v>2603.1999999999998</v>
      </c>
      <c r="U3">
        <f t="shared" si="7"/>
        <v>-86988</v>
      </c>
      <c r="V3">
        <f t="shared" si="8"/>
        <v>3207</v>
      </c>
      <c r="W3">
        <f t="shared" si="9"/>
        <v>91.4</v>
      </c>
    </row>
    <row r="4" spans="1:23" x14ac:dyDescent="0.3">
      <c r="A4" s="1">
        <v>1982</v>
      </c>
      <c r="B4" s="2">
        <f>VLOOKUP(A4,'Raw_Imigration data'!A:G, 7, FALSE)</f>
        <v>-196068</v>
      </c>
      <c r="C4" s="1">
        <f>VLOOKUP(A4,'Raw_Imigration data'!A:H, 8, FALSE)</f>
        <v>-78427.199999999997</v>
      </c>
      <c r="D4" s="1">
        <f>'Raw_Gross Domestic Product '!D3</f>
        <v>3343.8</v>
      </c>
      <c r="E4" s="11">
        <f t="shared" ref="E4:E43" si="11">((D4-D3)/D3)*100</f>
        <v>4.2656688493919601</v>
      </c>
      <c r="F4" s="1">
        <f>'Raw_Personal Income and Its Dis'!E3</f>
        <v>2789.5</v>
      </c>
      <c r="G4" s="1">
        <f>Raw_Unemployment!B4</f>
        <v>116.5</v>
      </c>
      <c r="H4" s="2">
        <f t="shared" ref="H4:H43" si="12">B3</f>
        <v>-86988</v>
      </c>
      <c r="I4" s="1">
        <f t="shared" ref="I4:I43" si="13">E3</f>
        <v>12.238826864522444</v>
      </c>
      <c r="J4" s="1"/>
      <c r="K4" s="2">
        <f t="shared" si="10"/>
        <v>-196068</v>
      </c>
      <c r="L4" s="1">
        <f t="shared" si="0"/>
        <v>116.5</v>
      </c>
      <c r="M4" s="1">
        <f t="shared" si="1"/>
        <v>-86988</v>
      </c>
      <c r="N4" s="1"/>
      <c r="O4" s="1">
        <f t="shared" si="2"/>
        <v>116.5</v>
      </c>
      <c r="P4" s="1">
        <f t="shared" si="3"/>
        <v>4.2656688493919601</v>
      </c>
      <c r="Q4" s="1">
        <f t="shared" si="4"/>
        <v>-196068</v>
      </c>
      <c r="R4">
        <f t="shared" si="5"/>
        <v>-86988</v>
      </c>
      <c r="T4">
        <f t="shared" si="6"/>
        <v>2789.5</v>
      </c>
      <c r="U4">
        <f t="shared" si="7"/>
        <v>-196068</v>
      </c>
      <c r="V4">
        <f t="shared" si="8"/>
        <v>3343.8</v>
      </c>
      <c r="W4">
        <f t="shared" si="9"/>
        <v>116.5</v>
      </c>
    </row>
    <row r="5" spans="1:23" x14ac:dyDescent="0.3">
      <c r="A5" s="1">
        <v>1983</v>
      </c>
      <c r="B5" s="2">
        <f>VLOOKUP(A5,'Raw_Imigration data'!A:G, 7, FALSE)</f>
        <v>-339541</v>
      </c>
      <c r="C5" s="1">
        <f>VLOOKUP(A5,'Raw_Imigration data'!A:H, 8, FALSE)</f>
        <v>-135816.4</v>
      </c>
      <c r="D5" s="1">
        <f>'Raw_Gross Domestic Product '!E3</f>
        <v>3634</v>
      </c>
      <c r="E5" s="11">
        <f t="shared" si="11"/>
        <v>8.6787487289909624</v>
      </c>
      <c r="F5" s="1">
        <f>'Raw_Personal Income and Its Dis'!F3</f>
        <v>2981.7</v>
      </c>
      <c r="G5" s="1">
        <f>Raw_Unemployment!B5</f>
        <v>115.2</v>
      </c>
      <c r="H5" s="2">
        <f t="shared" si="12"/>
        <v>-196068</v>
      </c>
      <c r="I5" s="1">
        <f t="shared" si="13"/>
        <v>4.2656688493919601</v>
      </c>
      <c r="J5" s="1"/>
      <c r="K5" s="2">
        <f t="shared" si="10"/>
        <v>-339541</v>
      </c>
      <c r="L5" s="1">
        <f t="shared" si="0"/>
        <v>115.2</v>
      </c>
      <c r="M5" s="1">
        <f t="shared" si="1"/>
        <v>-196068</v>
      </c>
      <c r="N5" s="1"/>
      <c r="O5" s="1">
        <f t="shared" si="2"/>
        <v>115.2</v>
      </c>
      <c r="P5" s="1">
        <f t="shared" si="3"/>
        <v>8.6787487289909624</v>
      </c>
      <c r="Q5" s="1">
        <f t="shared" si="4"/>
        <v>-339541</v>
      </c>
      <c r="R5">
        <f t="shared" si="5"/>
        <v>-196068</v>
      </c>
      <c r="T5">
        <f t="shared" si="6"/>
        <v>2981.7</v>
      </c>
      <c r="U5">
        <f t="shared" si="7"/>
        <v>-339541</v>
      </c>
      <c r="V5">
        <f t="shared" si="8"/>
        <v>3634</v>
      </c>
      <c r="W5">
        <f t="shared" si="9"/>
        <v>115.2</v>
      </c>
    </row>
    <row r="6" spans="1:23" x14ac:dyDescent="0.3">
      <c r="A6" s="1">
        <v>1984</v>
      </c>
      <c r="B6" s="2">
        <f>VLOOKUP(A6,'Raw_Imigration data'!A:G, 7, FALSE)</f>
        <v>-316325</v>
      </c>
      <c r="C6" s="1">
        <f>VLOOKUP(A6,'Raw_Imigration data'!A:H, 8, FALSE)</f>
        <v>-126530.00000000001</v>
      </c>
      <c r="D6" s="1">
        <f>'Raw_Gross Domestic Product '!F3</f>
        <v>4037.6</v>
      </c>
      <c r="E6" s="11">
        <f t="shared" si="11"/>
        <v>11.106219042377543</v>
      </c>
      <c r="F6" s="1">
        <f>'Raw_Personal Income and Its Dis'!G3</f>
        <v>3288.7</v>
      </c>
      <c r="G6" s="1">
        <f>Raw_Unemployment!B6</f>
        <v>90.1</v>
      </c>
      <c r="H6" s="2">
        <f t="shared" si="12"/>
        <v>-339541</v>
      </c>
      <c r="I6" s="1">
        <f t="shared" si="13"/>
        <v>8.6787487289909624</v>
      </c>
      <c r="J6" s="1"/>
      <c r="K6" s="2">
        <f t="shared" si="10"/>
        <v>-316325</v>
      </c>
      <c r="L6" s="1">
        <f t="shared" si="0"/>
        <v>90.1</v>
      </c>
      <c r="M6" s="1">
        <f t="shared" si="1"/>
        <v>-339541</v>
      </c>
      <c r="N6" s="9"/>
      <c r="O6" s="1">
        <f t="shared" si="2"/>
        <v>90.1</v>
      </c>
      <c r="P6" s="1">
        <f t="shared" si="3"/>
        <v>11.106219042377543</v>
      </c>
      <c r="Q6" s="1">
        <f t="shared" si="4"/>
        <v>-316325</v>
      </c>
      <c r="R6">
        <f t="shared" si="5"/>
        <v>-339541</v>
      </c>
      <c r="T6">
        <f t="shared" si="6"/>
        <v>3288.7</v>
      </c>
      <c r="U6">
        <f t="shared" si="7"/>
        <v>-316325</v>
      </c>
      <c r="V6">
        <f t="shared" si="8"/>
        <v>4037.6</v>
      </c>
      <c r="W6">
        <f t="shared" si="9"/>
        <v>90.1</v>
      </c>
    </row>
    <row r="7" spans="1:23" x14ac:dyDescent="0.3">
      <c r="A7" s="1">
        <v>1985</v>
      </c>
      <c r="B7" s="2">
        <f>VLOOKUP(A7,'Raw_Imigration data'!A:G, 7, FALSE)</f>
        <v>-428548</v>
      </c>
      <c r="C7" s="1">
        <f>VLOOKUP(A7,'Raw_Imigration data'!A:H, 8, FALSE)</f>
        <v>-171419.19999999998</v>
      </c>
      <c r="D7" s="1">
        <f>'Raw_Gross Domestic Product '!G3</f>
        <v>4339</v>
      </c>
      <c r="E7" s="11">
        <f t="shared" si="11"/>
        <v>7.4648305924311504</v>
      </c>
      <c r="F7" s="1">
        <f>'Raw_Personal Income and Its Dis'!H3</f>
        <v>3522.9</v>
      </c>
      <c r="G7" s="1">
        <f>Raw_Unemployment!B7</f>
        <v>86.3</v>
      </c>
      <c r="H7" s="2">
        <f t="shared" si="12"/>
        <v>-316325</v>
      </c>
      <c r="I7" s="1">
        <f t="shared" si="13"/>
        <v>11.106219042377543</v>
      </c>
      <c r="J7" s="1"/>
      <c r="K7" s="2">
        <f t="shared" si="10"/>
        <v>-428548</v>
      </c>
      <c r="L7" s="1">
        <f t="shared" si="0"/>
        <v>86.3</v>
      </c>
      <c r="M7" s="1">
        <f t="shared" si="1"/>
        <v>-316325</v>
      </c>
      <c r="N7" s="1"/>
      <c r="O7" s="1">
        <f t="shared" si="2"/>
        <v>86.3</v>
      </c>
      <c r="P7" s="1">
        <f t="shared" si="3"/>
        <v>7.4648305924311504</v>
      </c>
      <c r="Q7" s="1">
        <f t="shared" si="4"/>
        <v>-428548</v>
      </c>
      <c r="R7">
        <f t="shared" si="5"/>
        <v>-316325</v>
      </c>
      <c r="T7">
        <f t="shared" si="6"/>
        <v>3522.9</v>
      </c>
      <c r="U7">
        <f t="shared" si="7"/>
        <v>-428548</v>
      </c>
      <c r="V7">
        <f t="shared" si="8"/>
        <v>4339</v>
      </c>
      <c r="W7">
        <f t="shared" si="9"/>
        <v>86.3</v>
      </c>
    </row>
    <row r="8" spans="1:23" x14ac:dyDescent="0.3">
      <c r="A8" s="1">
        <v>1986</v>
      </c>
      <c r="B8" s="2">
        <f>VLOOKUP(A8,'Raw_Imigration data'!A:G, 7, FALSE)</f>
        <v>-948739</v>
      </c>
      <c r="C8" s="1">
        <f>VLOOKUP(A8,'Raw_Imigration data'!A:H, 8, FALSE)</f>
        <v>-379495.6</v>
      </c>
      <c r="D8" s="1">
        <f>'Raw_Gross Domestic Product '!H3</f>
        <v>4579.6000000000004</v>
      </c>
      <c r="E8" s="11">
        <f t="shared" si="11"/>
        <v>5.5450564646231939</v>
      </c>
      <c r="F8" s="1">
        <f>'Raw_Personal Income and Its Dis'!I3</f>
        <v>3731.2</v>
      </c>
      <c r="G8" s="1">
        <f>Raw_Unemployment!B8</f>
        <v>84</v>
      </c>
      <c r="H8" s="2">
        <f t="shared" si="12"/>
        <v>-428548</v>
      </c>
      <c r="I8" s="1">
        <f t="shared" si="13"/>
        <v>7.4648305924311504</v>
      </c>
      <c r="J8" s="1"/>
      <c r="K8" s="2">
        <f t="shared" si="10"/>
        <v>-948739</v>
      </c>
      <c r="L8" s="1">
        <f t="shared" si="0"/>
        <v>84</v>
      </c>
      <c r="M8" s="1">
        <f t="shared" si="1"/>
        <v>-428548</v>
      </c>
      <c r="N8" s="1"/>
      <c r="O8" s="1">
        <f t="shared" si="2"/>
        <v>84</v>
      </c>
      <c r="P8" s="1">
        <f t="shared" si="3"/>
        <v>5.5450564646231939</v>
      </c>
      <c r="Q8" s="1">
        <f t="shared" si="4"/>
        <v>-948739</v>
      </c>
      <c r="R8">
        <f t="shared" si="5"/>
        <v>-428548</v>
      </c>
      <c r="T8">
        <f t="shared" si="6"/>
        <v>3731.2</v>
      </c>
      <c r="U8">
        <f t="shared" si="7"/>
        <v>-948739</v>
      </c>
      <c r="V8">
        <f t="shared" si="8"/>
        <v>4579.6000000000004</v>
      </c>
      <c r="W8">
        <f t="shared" si="9"/>
        <v>84</v>
      </c>
    </row>
    <row r="9" spans="1:23" x14ac:dyDescent="0.3">
      <c r="A9" s="1">
        <v>1987</v>
      </c>
      <c r="B9" s="2">
        <f>VLOOKUP(A9,'Raw_Imigration data'!A:G, 7, FALSE)</f>
        <v>-451122</v>
      </c>
      <c r="C9" s="1">
        <f>VLOOKUP(A9,'Raw_Imigration data'!A:H, 8, FALSE)</f>
        <v>-180448.80000000002</v>
      </c>
      <c r="D9" s="1">
        <f>'Raw_Gross Domestic Product '!I3</f>
        <v>4855.2</v>
      </c>
      <c r="E9" s="11">
        <f t="shared" si="11"/>
        <v>6.0179928378024155</v>
      </c>
      <c r="F9" s="1">
        <f>'Raw_Personal Income and Its Dis'!J3</f>
        <v>3946.8</v>
      </c>
      <c r="G9" s="1">
        <f>Raw_Unemployment!B9</f>
        <v>74.099999999999994</v>
      </c>
      <c r="H9" s="2">
        <f t="shared" si="12"/>
        <v>-948739</v>
      </c>
      <c r="I9" s="1">
        <f t="shared" si="13"/>
        <v>5.5450564646231939</v>
      </c>
      <c r="J9" s="1"/>
      <c r="K9" s="2">
        <f t="shared" si="10"/>
        <v>-451122</v>
      </c>
      <c r="L9" s="1">
        <f t="shared" si="0"/>
        <v>74.099999999999994</v>
      </c>
      <c r="M9" s="1">
        <f t="shared" si="1"/>
        <v>-948739</v>
      </c>
      <c r="N9" s="1"/>
      <c r="O9" s="1">
        <f t="shared" si="2"/>
        <v>74.099999999999994</v>
      </c>
      <c r="P9" s="1">
        <f t="shared" si="3"/>
        <v>6.0179928378024155</v>
      </c>
      <c r="Q9" s="1">
        <f t="shared" si="4"/>
        <v>-451122</v>
      </c>
      <c r="R9">
        <f t="shared" si="5"/>
        <v>-948739</v>
      </c>
      <c r="T9">
        <f t="shared" si="6"/>
        <v>3946.8</v>
      </c>
      <c r="U9">
        <f t="shared" si="7"/>
        <v>-451122</v>
      </c>
      <c r="V9">
        <f t="shared" si="8"/>
        <v>4855.2</v>
      </c>
      <c r="W9">
        <f t="shared" si="9"/>
        <v>74.099999999999994</v>
      </c>
    </row>
    <row r="10" spans="1:23" x14ac:dyDescent="0.3">
      <c r="A10" s="1">
        <v>1988</v>
      </c>
      <c r="B10" s="2">
        <f>VLOOKUP(A10,'Raw_Imigration data'!A:G, 7, FALSE)</f>
        <v>-219790</v>
      </c>
      <c r="C10" s="1">
        <f>VLOOKUP(A10,'Raw_Imigration data'!A:H, 8, FALSE)</f>
        <v>-87916</v>
      </c>
      <c r="D10" s="1">
        <f>'Raw_Gross Domestic Product '!J3</f>
        <v>5236.3999999999996</v>
      </c>
      <c r="E10" s="11">
        <f t="shared" si="11"/>
        <v>7.8513758444554256</v>
      </c>
      <c r="F10" s="1">
        <f>'Raw_Personal Income and Its Dis'!K3</f>
        <v>4280</v>
      </c>
      <c r="G10" s="1">
        <f>Raw_Unemployment!B10</f>
        <v>65.900000000000006</v>
      </c>
      <c r="H10" s="2">
        <f t="shared" si="12"/>
        <v>-451122</v>
      </c>
      <c r="I10" s="1">
        <f t="shared" si="13"/>
        <v>6.0179928378024155</v>
      </c>
      <c r="J10" s="1"/>
      <c r="K10" s="2">
        <f t="shared" si="10"/>
        <v>-219790</v>
      </c>
      <c r="L10" s="1">
        <f t="shared" si="0"/>
        <v>65.900000000000006</v>
      </c>
      <c r="M10" s="1">
        <f t="shared" si="1"/>
        <v>-451122</v>
      </c>
      <c r="N10" s="1"/>
      <c r="O10" s="1">
        <f t="shared" si="2"/>
        <v>65.900000000000006</v>
      </c>
      <c r="P10" s="1">
        <f t="shared" si="3"/>
        <v>7.8513758444554256</v>
      </c>
      <c r="Q10" s="1">
        <f t="shared" si="4"/>
        <v>-219790</v>
      </c>
      <c r="R10">
        <f t="shared" si="5"/>
        <v>-451122</v>
      </c>
      <c r="T10">
        <f t="shared" si="6"/>
        <v>4280</v>
      </c>
      <c r="U10">
        <f t="shared" si="7"/>
        <v>-219790</v>
      </c>
      <c r="V10">
        <f t="shared" si="8"/>
        <v>5236.3999999999996</v>
      </c>
      <c r="W10">
        <f t="shared" si="9"/>
        <v>65.900000000000006</v>
      </c>
    </row>
    <row r="11" spans="1:23" x14ac:dyDescent="0.3">
      <c r="A11" s="1">
        <v>1989</v>
      </c>
      <c r="B11" s="2">
        <f>VLOOKUP(A11,'Raw_Imigration data'!A:G, 7, FALSE)</f>
        <v>331925</v>
      </c>
      <c r="C11" s="1">
        <f>VLOOKUP(A11,'Raw_Imigration data'!A:H, 8, FALSE)</f>
        <v>132770</v>
      </c>
      <c r="D11" s="1">
        <f>'Raw_Gross Domestic Product '!K3</f>
        <v>5641.6</v>
      </c>
      <c r="E11" s="11">
        <f t="shared" si="11"/>
        <v>7.7381407073562132</v>
      </c>
      <c r="F11" s="1">
        <f>'Raw_Personal Income and Its Dis'!L3</f>
        <v>4621</v>
      </c>
      <c r="G11" s="1">
        <f>Raw_Unemployment!B11</f>
        <v>63.1</v>
      </c>
      <c r="H11" s="2">
        <f t="shared" si="12"/>
        <v>-219790</v>
      </c>
      <c r="I11" s="1">
        <f t="shared" si="13"/>
        <v>7.8513758444554256</v>
      </c>
      <c r="J11" s="1"/>
      <c r="K11" s="2">
        <f t="shared" si="10"/>
        <v>331925</v>
      </c>
      <c r="L11" s="1">
        <f t="shared" si="0"/>
        <v>63.1</v>
      </c>
      <c r="M11" s="1">
        <f t="shared" si="1"/>
        <v>-219790</v>
      </c>
      <c r="N11" s="1"/>
      <c r="O11" s="1">
        <f t="shared" si="2"/>
        <v>63.1</v>
      </c>
      <c r="P11" s="1">
        <f t="shared" si="3"/>
        <v>7.7381407073562132</v>
      </c>
      <c r="Q11" s="1">
        <f t="shared" si="4"/>
        <v>331925</v>
      </c>
      <c r="R11">
        <f t="shared" si="5"/>
        <v>-219790</v>
      </c>
      <c r="T11">
        <f t="shared" si="6"/>
        <v>4621</v>
      </c>
      <c r="U11">
        <f t="shared" si="7"/>
        <v>331925</v>
      </c>
      <c r="V11">
        <f t="shared" si="8"/>
        <v>5641.6</v>
      </c>
      <c r="W11">
        <f t="shared" si="9"/>
        <v>63.1</v>
      </c>
    </row>
    <row r="12" spans="1:23" x14ac:dyDescent="0.3">
      <c r="A12" s="1">
        <v>1990</v>
      </c>
      <c r="B12" s="2">
        <f>VLOOKUP(A12,'Raw_Imigration data'!A:G, 7, FALSE)</f>
        <v>605366</v>
      </c>
      <c r="C12" s="1">
        <f>VLOOKUP(A12,'Raw_Imigration data'!A:H, 8, FALSE)</f>
        <v>242146.4</v>
      </c>
      <c r="D12" s="1">
        <f>'Raw_Gross Domestic Product '!L3</f>
        <v>5963.1</v>
      </c>
      <c r="E12" s="11">
        <f t="shared" si="11"/>
        <v>5.698737946681792</v>
      </c>
      <c r="F12" s="1">
        <f>'Raw_Personal Income and Its Dis'!M3</f>
        <v>4913.3</v>
      </c>
      <c r="G12" s="1">
        <f>Raw_Unemployment!B12</f>
        <v>67.400000000000006</v>
      </c>
      <c r="H12" s="2">
        <f t="shared" si="12"/>
        <v>331925</v>
      </c>
      <c r="I12" s="1">
        <f t="shared" si="13"/>
        <v>7.7381407073562132</v>
      </c>
      <c r="J12" s="1"/>
      <c r="K12" s="2">
        <f t="shared" si="10"/>
        <v>605366</v>
      </c>
      <c r="L12" s="1">
        <f t="shared" si="0"/>
        <v>67.400000000000006</v>
      </c>
      <c r="M12" s="1">
        <f t="shared" si="1"/>
        <v>331925</v>
      </c>
      <c r="N12" s="1"/>
      <c r="O12" s="1">
        <f t="shared" si="2"/>
        <v>67.400000000000006</v>
      </c>
      <c r="P12" s="1">
        <f t="shared" si="3"/>
        <v>5.698737946681792</v>
      </c>
      <c r="Q12" s="1">
        <f t="shared" si="4"/>
        <v>605366</v>
      </c>
      <c r="R12">
        <f t="shared" si="5"/>
        <v>331925</v>
      </c>
      <c r="T12">
        <f t="shared" si="6"/>
        <v>4913.3</v>
      </c>
      <c r="U12">
        <f t="shared" si="7"/>
        <v>605366</v>
      </c>
      <c r="V12">
        <f t="shared" si="8"/>
        <v>5963.1</v>
      </c>
      <c r="W12">
        <f t="shared" si="9"/>
        <v>67.400000000000006</v>
      </c>
    </row>
    <row r="13" spans="1:23" x14ac:dyDescent="0.3">
      <c r="A13" s="1">
        <v>1991</v>
      </c>
      <c r="B13" s="2">
        <f>VLOOKUP(A13,'Raw_Imigration data'!A:G, 7, FALSE)</f>
        <v>845690</v>
      </c>
      <c r="C13" s="1">
        <f>VLOOKUP(A13,'Raw_Imigration data'!A:H, 8, FALSE)</f>
        <v>338276</v>
      </c>
      <c r="D13" s="1">
        <f>'Raw_Gross Domestic Product '!M3</f>
        <v>6158.1</v>
      </c>
      <c r="E13" s="11">
        <f t="shared" si="11"/>
        <v>3.2701111837802483</v>
      </c>
      <c r="F13" s="1">
        <f>'Raw_Personal Income and Its Dis'!N3</f>
        <v>5089.8999999999996</v>
      </c>
      <c r="G13" s="1">
        <f>Raw_Unemployment!B13</f>
        <v>82.2</v>
      </c>
      <c r="H13" s="2">
        <f t="shared" si="12"/>
        <v>605366</v>
      </c>
      <c r="I13" s="1">
        <f t="shared" si="13"/>
        <v>5.698737946681792</v>
      </c>
      <c r="J13" s="1"/>
      <c r="K13" s="2">
        <f t="shared" si="10"/>
        <v>845690</v>
      </c>
      <c r="L13" s="1">
        <f t="shared" si="0"/>
        <v>82.2</v>
      </c>
      <c r="M13" s="1">
        <f t="shared" si="1"/>
        <v>605366</v>
      </c>
      <c r="N13" s="1"/>
      <c r="O13" s="1">
        <f t="shared" si="2"/>
        <v>82.2</v>
      </c>
      <c r="P13" s="1">
        <f t="shared" si="3"/>
        <v>3.2701111837802483</v>
      </c>
      <c r="Q13" s="1">
        <f t="shared" si="4"/>
        <v>845690</v>
      </c>
      <c r="R13">
        <f t="shared" si="5"/>
        <v>605366</v>
      </c>
      <c r="T13">
        <f t="shared" si="6"/>
        <v>5089.8999999999996</v>
      </c>
      <c r="U13">
        <f t="shared" si="7"/>
        <v>845690</v>
      </c>
      <c r="V13">
        <f t="shared" si="8"/>
        <v>6158.1</v>
      </c>
      <c r="W13">
        <f t="shared" si="9"/>
        <v>82.2</v>
      </c>
    </row>
    <row r="14" spans="1:23" x14ac:dyDescent="0.3">
      <c r="A14" s="1">
        <v>1992</v>
      </c>
      <c r="B14" s="2">
        <f>VLOOKUP(A14,'Raw_Imigration data'!A:G, 7, FALSE)</f>
        <v>-60507</v>
      </c>
      <c r="C14" s="1">
        <f>VLOOKUP(A14,'Raw_Imigration data'!A:H, 8, FALSE)</f>
        <v>-24202.799999999999</v>
      </c>
      <c r="D14" s="1">
        <f>'Raw_Gross Domestic Product '!N3</f>
        <v>6520.3</v>
      </c>
      <c r="E14" s="11">
        <f t="shared" si="11"/>
        <v>5.8816842857374807</v>
      </c>
      <c r="F14" s="1">
        <f>'Raw_Personal Income and Its Dis'!O3</f>
        <v>5417.5</v>
      </c>
      <c r="G14" s="1">
        <f>Raw_Unemployment!B14</f>
        <v>89.9</v>
      </c>
      <c r="H14" s="2">
        <f t="shared" si="12"/>
        <v>845690</v>
      </c>
      <c r="I14" s="1">
        <f t="shared" si="13"/>
        <v>3.2701111837802483</v>
      </c>
      <c r="J14" s="1"/>
      <c r="K14" s="2">
        <f t="shared" si="10"/>
        <v>-60507</v>
      </c>
      <c r="L14" s="1">
        <f t="shared" si="0"/>
        <v>89.9</v>
      </c>
      <c r="M14" s="1">
        <f t="shared" si="1"/>
        <v>845690</v>
      </c>
      <c r="N14" s="1"/>
      <c r="O14" s="1">
        <f t="shared" si="2"/>
        <v>89.9</v>
      </c>
      <c r="P14" s="1">
        <f t="shared" si="3"/>
        <v>5.8816842857374807</v>
      </c>
      <c r="Q14" s="1">
        <f t="shared" si="4"/>
        <v>-60507</v>
      </c>
      <c r="R14">
        <f t="shared" si="5"/>
        <v>845690</v>
      </c>
      <c r="T14">
        <f t="shared" si="6"/>
        <v>5417.5</v>
      </c>
      <c r="U14">
        <f t="shared" si="7"/>
        <v>-60507</v>
      </c>
      <c r="V14">
        <f t="shared" si="8"/>
        <v>6520.3</v>
      </c>
      <c r="W14">
        <f t="shared" si="9"/>
        <v>89.9</v>
      </c>
    </row>
    <row r="15" spans="1:23" x14ac:dyDescent="0.3">
      <c r="A15" s="1">
        <v>1993</v>
      </c>
      <c r="B15" s="2">
        <f>VLOOKUP(A15,'Raw_Imigration data'!A:G, 7, FALSE)</f>
        <v>-267855</v>
      </c>
      <c r="C15" s="1">
        <f>VLOOKUP(A15,'Raw_Imigration data'!A:H, 8, FALSE)</f>
        <v>-107142</v>
      </c>
      <c r="D15" s="1">
        <f>'Raw_Gross Domestic Product '!O3</f>
        <v>6858.6</v>
      </c>
      <c r="E15" s="11">
        <f t="shared" si="11"/>
        <v>5.1884115761544738</v>
      </c>
      <c r="F15" s="1">
        <f>'Raw_Personal Income and Its Dis'!P3</f>
        <v>5652.9</v>
      </c>
      <c r="G15" s="1">
        <f>Raw_Unemployment!B15</f>
        <v>82.9</v>
      </c>
      <c r="H15" s="2">
        <f t="shared" si="12"/>
        <v>-60507</v>
      </c>
      <c r="I15" s="1">
        <f t="shared" si="13"/>
        <v>5.8816842857374807</v>
      </c>
      <c r="J15" s="1"/>
      <c r="K15" s="2">
        <f t="shared" si="10"/>
        <v>-267855</v>
      </c>
      <c r="L15" s="1">
        <f t="shared" si="0"/>
        <v>82.9</v>
      </c>
      <c r="M15" s="1">
        <f t="shared" si="1"/>
        <v>-60507</v>
      </c>
      <c r="N15" s="1"/>
      <c r="O15" s="1">
        <f t="shared" si="2"/>
        <v>82.9</v>
      </c>
      <c r="P15" s="1">
        <f t="shared" si="3"/>
        <v>5.1884115761544738</v>
      </c>
      <c r="Q15" s="1">
        <f t="shared" si="4"/>
        <v>-267855</v>
      </c>
      <c r="R15">
        <f t="shared" si="5"/>
        <v>-60507</v>
      </c>
      <c r="T15">
        <f t="shared" si="6"/>
        <v>5652.9</v>
      </c>
      <c r="U15">
        <f t="shared" si="7"/>
        <v>-267855</v>
      </c>
      <c r="V15">
        <f t="shared" si="8"/>
        <v>6858.6</v>
      </c>
      <c r="W15">
        <f t="shared" si="9"/>
        <v>82.9</v>
      </c>
    </row>
    <row r="16" spans="1:23" x14ac:dyDescent="0.3">
      <c r="A16" s="1">
        <v>1994</v>
      </c>
      <c r="B16" s="2">
        <f>VLOOKUP(A16,'Raw_Imigration data'!A:G, 7, FALSE)</f>
        <v>-159108</v>
      </c>
      <c r="C16" s="1">
        <f>VLOOKUP(A16,'Raw_Imigration data'!A:H, 8, FALSE)</f>
        <v>-63643.199999999997</v>
      </c>
      <c r="D16" s="1">
        <f>'Raw_Gross Domestic Product '!P3</f>
        <v>7287.2</v>
      </c>
      <c r="E16" s="11">
        <f t="shared" si="11"/>
        <v>6.249088735310405</v>
      </c>
      <c r="F16" s="1">
        <f>'Raw_Personal Income and Its Dis'!Q3</f>
        <v>5940.9</v>
      </c>
      <c r="G16" s="1">
        <f>Raw_Unemployment!B16</f>
        <v>73.2</v>
      </c>
      <c r="H16" s="2">
        <f t="shared" si="12"/>
        <v>-267855</v>
      </c>
      <c r="I16" s="1">
        <f t="shared" si="13"/>
        <v>5.1884115761544738</v>
      </c>
      <c r="J16" s="1"/>
      <c r="K16" s="2">
        <f t="shared" si="10"/>
        <v>-159108</v>
      </c>
      <c r="L16" s="1">
        <f t="shared" si="0"/>
        <v>73.2</v>
      </c>
      <c r="M16" s="1">
        <f t="shared" si="1"/>
        <v>-267855</v>
      </c>
      <c r="N16" s="1"/>
      <c r="O16" s="1">
        <f t="shared" si="2"/>
        <v>73.2</v>
      </c>
      <c r="P16" s="1">
        <f t="shared" si="3"/>
        <v>6.249088735310405</v>
      </c>
      <c r="Q16" s="1">
        <f t="shared" si="4"/>
        <v>-159108</v>
      </c>
      <c r="R16">
        <f t="shared" si="5"/>
        <v>-267855</v>
      </c>
      <c r="T16">
        <f t="shared" si="6"/>
        <v>5940.9</v>
      </c>
      <c r="U16">
        <f t="shared" si="7"/>
        <v>-159108</v>
      </c>
      <c r="V16">
        <f t="shared" si="8"/>
        <v>7287.2</v>
      </c>
      <c r="W16">
        <f t="shared" si="9"/>
        <v>73.2</v>
      </c>
    </row>
    <row r="17" spans="1:23" x14ac:dyDescent="0.3">
      <c r="A17" s="1">
        <v>1995</v>
      </c>
      <c r="B17" s="2">
        <f>VLOOKUP(A17,'Raw_Imigration data'!A:G, 7, FALSE)</f>
        <v>-545538</v>
      </c>
      <c r="C17" s="1">
        <f>VLOOKUP(A17,'Raw_Imigration data'!A:H, 8, FALSE)</f>
        <v>-218215.19999999998</v>
      </c>
      <c r="D17" s="1">
        <f>'Raw_Gross Domestic Product '!Q3</f>
        <v>7639.7</v>
      </c>
      <c r="E17" s="11">
        <f t="shared" si="11"/>
        <v>4.8372488747392683</v>
      </c>
      <c r="F17" s="1">
        <f>'Raw_Personal Income and Its Dis'!R3</f>
        <v>6283.4</v>
      </c>
      <c r="G17" s="1">
        <f>Raw_Unemployment!B17</f>
        <v>67.099999999999994</v>
      </c>
      <c r="H17" s="2">
        <f t="shared" si="12"/>
        <v>-159108</v>
      </c>
      <c r="I17" s="1">
        <f t="shared" si="13"/>
        <v>6.249088735310405</v>
      </c>
      <c r="J17" s="1"/>
      <c r="K17" s="2">
        <f t="shared" si="10"/>
        <v>-545538</v>
      </c>
      <c r="L17" s="1">
        <f t="shared" si="0"/>
        <v>67.099999999999994</v>
      </c>
      <c r="M17" s="1">
        <f t="shared" si="1"/>
        <v>-159108</v>
      </c>
      <c r="N17" s="1"/>
      <c r="O17" s="1">
        <f t="shared" si="2"/>
        <v>67.099999999999994</v>
      </c>
      <c r="P17" s="1">
        <f t="shared" si="3"/>
        <v>4.8372488747392683</v>
      </c>
      <c r="Q17" s="1">
        <f t="shared" si="4"/>
        <v>-545538</v>
      </c>
      <c r="R17">
        <f t="shared" si="5"/>
        <v>-159108</v>
      </c>
      <c r="T17">
        <f t="shared" si="6"/>
        <v>6283.4</v>
      </c>
      <c r="U17">
        <f t="shared" si="7"/>
        <v>-545538</v>
      </c>
      <c r="V17">
        <f t="shared" si="8"/>
        <v>7639.7</v>
      </c>
      <c r="W17">
        <f t="shared" si="9"/>
        <v>67.099999999999994</v>
      </c>
    </row>
    <row r="18" spans="1:23" x14ac:dyDescent="0.3">
      <c r="A18" s="1">
        <v>1996</v>
      </c>
      <c r="B18" s="2">
        <f>VLOOKUP(A18,'Raw_Imigration data'!A:G, 7, FALSE)</f>
        <v>-652127</v>
      </c>
      <c r="C18" s="1">
        <f>VLOOKUP(A18,'Raw_Imigration data'!A:H, 8, FALSE)</f>
        <v>-260850.80000000002</v>
      </c>
      <c r="D18" s="1">
        <f>'Raw_Gross Domestic Product '!R3</f>
        <v>8073.1</v>
      </c>
      <c r="E18" s="11">
        <f t="shared" si="11"/>
        <v>5.6729976307970285</v>
      </c>
      <c r="F18" s="1">
        <f>'Raw_Personal Income and Its Dis'!S3</f>
        <v>6666.2</v>
      </c>
      <c r="G18" s="1">
        <f>Raw_Unemployment!B18</f>
        <v>64.900000000000006</v>
      </c>
      <c r="H18" s="2">
        <f t="shared" si="12"/>
        <v>-545538</v>
      </c>
      <c r="I18" s="1">
        <f t="shared" si="13"/>
        <v>4.8372488747392683</v>
      </c>
      <c r="J18" s="1"/>
      <c r="K18" s="2">
        <f t="shared" si="10"/>
        <v>-652127</v>
      </c>
      <c r="L18" s="1">
        <f t="shared" si="0"/>
        <v>64.900000000000006</v>
      </c>
      <c r="M18" s="1">
        <f t="shared" si="1"/>
        <v>-545538</v>
      </c>
      <c r="N18" s="1"/>
      <c r="O18" s="1">
        <f t="shared" si="2"/>
        <v>64.900000000000006</v>
      </c>
      <c r="P18" s="1">
        <f t="shared" si="3"/>
        <v>5.6729976307970285</v>
      </c>
      <c r="Q18" s="1">
        <f t="shared" si="4"/>
        <v>-652127</v>
      </c>
      <c r="R18">
        <f t="shared" si="5"/>
        <v>-545538</v>
      </c>
      <c r="T18">
        <f t="shared" si="6"/>
        <v>6666.2</v>
      </c>
      <c r="U18">
        <f t="shared" si="7"/>
        <v>-652127</v>
      </c>
      <c r="V18">
        <f t="shared" si="8"/>
        <v>8073.1</v>
      </c>
      <c r="W18">
        <f t="shared" si="9"/>
        <v>64.900000000000006</v>
      </c>
    </row>
    <row r="19" spans="1:23" x14ac:dyDescent="0.3">
      <c r="A19" s="1">
        <v>1997</v>
      </c>
      <c r="B19" s="2">
        <f>VLOOKUP(A19,'Raw_Imigration data'!A:G, 7, FALSE)</f>
        <v>-687616</v>
      </c>
      <c r="C19" s="1">
        <f>VLOOKUP(A19,'Raw_Imigration data'!A:H, 8, FALSE)</f>
        <v>-275046.40000000002</v>
      </c>
      <c r="D19" s="1">
        <f>'Raw_Gross Domestic Product '!S3</f>
        <v>8577.6</v>
      </c>
      <c r="E19" s="11">
        <f t="shared" si="11"/>
        <v>6.2491484064361895</v>
      </c>
      <c r="F19" s="1">
        <f>'Raw_Personal Income and Its Dis'!T3</f>
        <v>7074</v>
      </c>
      <c r="G19" s="1">
        <f>Raw_Unemployment!B19</f>
        <v>59.3</v>
      </c>
      <c r="H19" s="2">
        <f t="shared" si="12"/>
        <v>-652127</v>
      </c>
      <c r="I19" s="1">
        <f t="shared" si="13"/>
        <v>5.6729976307970285</v>
      </c>
      <c r="J19" s="1"/>
      <c r="K19" s="2">
        <f t="shared" si="10"/>
        <v>-687616</v>
      </c>
      <c r="L19" s="1">
        <f t="shared" si="0"/>
        <v>59.3</v>
      </c>
      <c r="M19" s="1">
        <f t="shared" si="1"/>
        <v>-652127</v>
      </c>
      <c r="N19" s="1"/>
      <c r="O19" s="1">
        <f t="shared" si="2"/>
        <v>59.3</v>
      </c>
      <c r="P19" s="1">
        <f t="shared" si="3"/>
        <v>6.2491484064361895</v>
      </c>
      <c r="Q19" s="1">
        <f t="shared" si="4"/>
        <v>-687616</v>
      </c>
      <c r="R19">
        <f t="shared" si="5"/>
        <v>-652127</v>
      </c>
      <c r="T19">
        <f t="shared" si="6"/>
        <v>7074</v>
      </c>
      <c r="U19">
        <f t="shared" si="7"/>
        <v>-687616</v>
      </c>
      <c r="V19">
        <f t="shared" si="8"/>
        <v>8577.6</v>
      </c>
      <c r="W19">
        <f t="shared" si="9"/>
        <v>59.3</v>
      </c>
    </row>
    <row r="20" spans="1:23" x14ac:dyDescent="0.3">
      <c r="A20" s="1">
        <v>1998</v>
      </c>
      <c r="B20" s="2">
        <f>VLOOKUP(A20,'Raw_Imigration data'!A:G, 7, FALSE)</f>
        <v>-1015022</v>
      </c>
      <c r="C20" s="1">
        <f>VLOOKUP(A20,'Raw_Imigration data'!A:H, 8, FALSE)</f>
        <v>-406008.80000000005</v>
      </c>
      <c r="D20" s="1">
        <f>'Raw_Gross Domestic Product '!T3</f>
        <v>9062.7999999999993</v>
      </c>
      <c r="E20" s="11">
        <f t="shared" si="11"/>
        <v>5.6565939190449415</v>
      </c>
      <c r="F20" s="1">
        <f>'Raw_Personal Income and Its Dis'!U3</f>
        <v>7588.4</v>
      </c>
      <c r="G20" s="1">
        <f>Raw_Unemployment!B20</f>
        <v>54</v>
      </c>
      <c r="H20" s="2">
        <f t="shared" si="12"/>
        <v>-687616</v>
      </c>
      <c r="I20" s="1">
        <f t="shared" si="13"/>
        <v>6.2491484064361895</v>
      </c>
      <c r="J20" s="1"/>
      <c r="K20" s="2">
        <f t="shared" si="10"/>
        <v>-1015022</v>
      </c>
      <c r="L20" s="1">
        <f t="shared" si="0"/>
        <v>54</v>
      </c>
      <c r="M20" s="1">
        <f t="shared" si="1"/>
        <v>-687616</v>
      </c>
      <c r="N20" s="1"/>
      <c r="O20" s="1">
        <f t="shared" si="2"/>
        <v>54</v>
      </c>
      <c r="P20" s="1">
        <f t="shared" si="3"/>
        <v>5.6565939190449415</v>
      </c>
      <c r="Q20" s="1">
        <f t="shared" si="4"/>
        <v>-1015022</v>
      </c>
      <c r="R20">
        <f t="shared" si="5"/>
        <v>-687616</v>
      </c>
      <c r="T20">
        <f t="shared" si="6"/>
        <v>7588.4</v>
      </c>
      <c r="U20">
        <f t="shared" si="7"/>
        <v>-1015022</v>
      </c>
      <c r="V20">
        <f t="shared" si="8"/>
        <v>9062.7999999999993</v>
      </c>
      <c r="W20">
        <f t="shared" si="9"/>
        <v>54</v>
      </c>
    </row>
    <row r="21" spans="1:23" x14ac:dyDescent="0.3">
      <c r="A21" s="1">
        <v>1999</v>
      </c>
      <c r="B21" s="2">
        <f>VLOOKUP(A21,'Raw_Imigration data'!A:G, 7, FALSE)</f>
        <v>-1027905</v>
      </c>
      <c r="C21" s="1">
        <f>VLOOKUP(A21,'Raw_Imigration data'!A:H, 8, FALSE)</f>
        <v>-411162</v>
      </c>
      <c r="D21" s="1">
        <f>'Raw_Gross Domestic Product '!U3</f>
        <v>9631.2000000000007</v>
      </c>
      <c r="E21" s="11">
        <f t="shared" si="11"/>
        <v>6.2717923820453008</v>
      </c>
      <c r="F21" s="1">
        <f>'Raw_Personal Income and Its Dis'!V3</f>
        <v>7978.6</v>
      </c>
      <c r="G21" s="1">
        <f>Raw_Unemployment!B21</f>
        <v>50.6</v>
      </c>
      <c r="H21" s="2">
        <f t="shared" si="12"/>
        <v>-1015022</v>
      </c>
      <c r="I21" s="1">
        <f t="shared" si="13"/>
        <v>5.6565939190449415</v>
      </c>
      <c r="J21" s="1"/>
      <c r="K21" s="2">
        <f t="shared" si="10"/>
        <v>-1027905</v>
      </c>
      <c r="L21" s="1">
        <f t="shared" si="0"/>
        <v>50.6</v>
      </c>
      <c r="M21" s="1">
        <f t="shared" si="1"/>
        <v>-1015022</v>
      </c>
      <c r="N21" s="1"/>
      <c r="O21" s="1">
        <f t="shared" si="2"/>
        <v>50.6</v>
      </c>
      <c r="P21" s="1">
        <f t="shared" si="3"/>
        <v>6.2717923820453008</v>
      </c>
      <c r="Q21" s="1">
        <f t="shared" si="4"/>
        <v>-1027905</v>
      </c>
      <c r="R21">
        <f t="shared" si="5"/>
        <v>-1015022</v>
      </c>
      <c r="T21">
        <f t="shared" si="6"/>
        <v>7978.6</v>
      </c>
      <c r="U21">
        <f t="shared" si="7"/>
        <v>-1027905</v>
      </c>
      <c r="V21">
        <f t="shared" si="8"/>
        <v>9631.2000000000007</v>
      </c>
      <c r="W21">
        <f t="shared" si="9"/>
        <v>50.6</v>
      </c>
    </row>
    <row r="22" spans="1:23" x14ac:dyDescent="0.3">
      <c r="A22" s="1">
        <v>2000</v>
      </c>
      <c r="B22" s="2">
        <f>VLOOKUP(A22,'Raw_Imigration data'!A:G, 7, FALSE)</f>
        <v>-951176</v>
      </c>
      <c r="C22" s="1">
        <f>VLOOKUP(A22,'Raw_Imigration data'!A:H, 8, FALSE)</f>
        <v>-380470.4</v>
      </c>
      <c r="D22" s="1">
        <f>'Raw_Gross Domestic Product '!V3</f>
        <v>10251</v>
      </c>
      <c r="E22" s="11">
        <f t="shared" si="11"/>
        <v>6.435335160727627</v>
      </c>
      <c r="F22" s="1">
        <f>'Raw_Personal Income and Its Dis'!W3</f>
        <v>8621.2999999999993</v>
      </c>
      <c r="G22" s="1">
        <f>Raw_Unemployment!B22</f>
        <v>47.6</v>
      </c>
      <c r="H22" s="2">
        <f t="shared" si="12"/>
        <v>-1027905</v>
      </c>
      <c r="I22" s="1">
        <f t="shared" si="13"/>
        <v>6.2717923820453008</v>
      </c>
      <c r="J22" s="1"/>
      <c r="K22" s="2">
        <f t="shared" si="10"/>
        <v>-951176</v>
      </c>
      <c r="L22" s="1">
        <f t="shared" si="0"/>
        <v>47.6</v>
      </c>
      <c r="M22" s="1">
        <f t="shared" si="1"/>
        <v>-1027905</v>
      </c>
      <c r="N22" s="1"/>
      <c r="O22" s="1">
        <f t="shared" si="2"/>
        <v>47.6</v>
      </c>
      <c r="P22" s="1">
        <f t="shared" si="3"/>
        <v>6.435335160727627</v>
      </c>
      <c r="Q22" s="1">
        <f t="shared" si="4"/>
        <v>-951176</v>
      </c>
      <c r="R22">
        <f t="shared" si="5"/>
        <v>-1027905</v>
      </c>
      <c r="T22">
        <f t="shared" si="6"/>
        <v>8621.2999999999993</v>
      </c>
      <c r="U22">
        <f t="shared" si="7"/>
        <v>-951176</v>
      </c>
      <c r="V22">
        <f t="shared" si="8"/>
        <v>10251</v>
      </c>
      <c r="W22">
        <f t="shared" si="9"/>
        <v>47.6</v>
      </c>
    </row>
    <row r="23" spans="1:23" x14ac:dyDescent="0.3">
      <c r="A23" s="1">
        <v>2001</v>
      </c>
      <c r="B23" s="2">
        <f>VLOOKUP(A23,'Raw_Imigration data'!A:G, 7, FALSE)</f>
        <v>-410575</v>
      </c>
      <c r="C23" s="1">
        <f>VLOOKUP(A23,'Raw_Imigration data'!A:H, 8, FALSE)</f>
        <v>-164230</v>
      </c>
      <c r="D23" s="1">
        <f>'Raw_Gross Domestic Product '!W3</f>
        <v>10581.9</v>
      </c>
      <c r="E23" s="11">
        <f t="shared" si="11"/>
        <v>3.2279777582674827</v>
      </c>
      <c r="F23" s="1">
        <f>'Raw_Personal Income and Its Dis'!X3</f>
        <v>8993.1</v>
      </c>
      <c r="G23" s="1">
        <f>Raw_Unemployment!B23</f>
        <v>56.9</v>
      </c>
      <c r="H23" s="2">
        <f t="shared" si="12"/>
        <v>-951176</v>
      </c>
      <c r="I23" s="1">
        <f t="shared" si="13"/>
        <v>6.435335160727627</v>
      </c>
      <c r="J23" s="1"/>
      <c r="K23" s="2">
        <f t="shared" si="10"/>
        <v>-410575</v>
      </c>
      <c r="L23" s="1">
        <f t="shared" si="0"/>
        <v>56.9</v>
      </c>
      <c r="M23" s="1">
        <f t="shared" si="1"/>
        <v>-951176</v>
      </c>
      <c r="N23" s="1"/>
      <c r="O23" s="1">
        <f t="shared" si="2"/>
        <v>56.9</v>
      </c>
      <c r="P23" s="1">
        <f t="shared" si="3"/>
        <v>3.2279777582674827</v>
      </c>
      <c r="Q23" s="1">
        <f t="shared" si="4"/>
        <v>-410575</v>
      </c>
      <c r="R23">
        <f t="shared" si="5"/>
        <v>-951176</v>
      </c>
      <c r="T23">
        <f t="shared" si="6"/>
        <v>8993.1</v>
      </c>
      <c r="U23">
        <f t="shared" si="7"/>
        <v>-410575</v>
      </c>
      <c r="V23">
        <f t="shared" si="8"/>
        <v>10581.9</v>
      </c>
      <c r="W23">
        <f t="shared" si="9"/>
        <v>56.9</v>
      </c>
    </row>
    <row r="24" spans="1:23" x14ac:dyDescent="0.3">
      <c r="A24" s="1">
        <v>2002</v>
      </c>
      <c r="B24" s="2">
        <f>VLOOKUP(A24,'Raw_Imigration data'!A:G, 7, FALSE)</f>
        <v>-91143</v>
      </c>
      <c r="C24" s="1">
        <f>VLOOKUP(A24,'Raw_Imigration data'!A:H, 8, FALSE)</f>
        <v>-36457.199999999997</v>
      </c>
      <c r="D24" s="1">
        <f>'Raw_Gross Domestic Product '!X3</f>
        <v>10929.1</v>
      </c>
      <c r="E24" s="11">
        <f t="shared" si="11"/>
        <v>3.2810742872263083</v>
      </c>
      <c r="F24" s="1">
        <f>'Raw_Personal Income and Its Dis'!Y3</f>
        <v>9150</v>
      </c>
      <c r="G24" s="1">
        <f>Raw_Unemployment!B24</f>
        <v>69.400000000000006</v>
      </c>
      <c r="H24" s="2">
        <f t="shared" si="12"/>
        <v>-410575</v>
      </c>
      <c r="I24" s="1">
        <f t="shared" si="13"/>
        <v>3.2279777582674827</v>
      </c>
      <c r="J24" s="1"/>
      <c r="K24" s="2">
        <f t="shared" si="10"/>
        <v>-91143</v>
      </c>
      <c r="L24" s="1">
        <f t="shared" si="0"/>
        <v>69.400000000000006</v>
      </c>
      <c r="M24" s="1">
        <f t="shared" si="1"/>
        <v>-410575</v>
      </c>
      <c r="N24" s="1"/>
      <c r="O24" s="1">
        <f t="shared" si="2"/>
        <v>69.400000000000006</v>
      </c>
      <c r="P24" s="1">
        <f t="shared" si="3"/>
        <v>3.2810742872263083</v>
      </c>
      <c r="Q24" s="1">
        <f t="shared" si="4"/>
        <v>-91143</v>
      </c>
      <c r="R24">
        <f t="shared" si="5"/>
        <v>-410575</v>
      </c>
      <c r="T24">
        <f t="shared" si="6"/>
        <v>9150</v>
      </c>
      <c r="U24">
        <f t="shared" si="7"/>
        <v>-91143</v>
      </c>
      <c r="V24">
        <f t="shared" si="8"/>
        <v>10929.1</v>
      </c>
      <c r="W24">
        <f t="shared" si="9"/>
        <v>69.400000000000006</v>
      </c>
    </row>
    <row r="25" spans="1:23" x14ac:dyDescent="0.3">
      <c r="A25" s="1">
        <v>2003</v>
      </c>
      <c r="B25" s="2">
        <f>VLOOKUP(A25,'Raw_Imigration data'!A:G, 7, FALSE)</f>
        <v>-424564</v>
      </c>
      <c r="C25" s="1">
        <f>VLOOKUP(A25,'Raw_Imigration data'!A:H, 8, FALSE)</f>
        <v>-169825.6</v>
      </c>
      <c r="D25" s="1">
        <f>'Raw_Gross Domestic Product '!Y3</f>
        <v>11456.5</v>
      </c>
      <c r="E25" s="11">
        <f t="shared" si="11"/>
        <v>4.8256489555407089</v>
      </c>
      <c r="F25" s="1">
        <f>'Raw_Personal Income and Its Dis'!Z3</f>
        <v>9481.7999999999993</v>
      </c>
      <c r="G25" s="1">
        <f>Raw_Unemployment!B25</f>
        <v>71.900000000000006</v>
      </c>
      <c r="H25" s="2">
        <f t="shared" si="12"/>
        <v>-91143</v>
      </c>
      <c r="I25" s="1">
        <f t="shared" si="13"/>
        <v>3.2810742872263083</v>
      </c>
      <c r="J25" s="1"/>
      <c r="K25" s="2">
        <f t="shared" si="10"/>
        <v>-424564</v>
      </c>
      <c r="L25" s="1">
        <f t="shared" si="0"/>
        <v>71.900000000000006</v>
      </c>
      <c r="M25" s="1">
        <f t="shared" si="1"/>
        <v>-91143</v>
      </c>
      <c r="N25" s="1"/>
      <c r="O25" s="1">
        <f t="shared" si="2"/>
        <v>71.900000000000006</v>
      </c>
      <c r="P25" s="1">
        <f t="shared" si="3"/>
        <v>4.8256489555407089</v>
      </c>
      <c r="Q25" s="1">
        <f t="shared" si="4"/>
        <v>-424564</v>
      </c>
      <c r="R25">
        <f t="shared" si="5"/>
        <v>-91143</v>
      </c>
      <c r="T25">
        <f t="shared" si="6"/>
        <v>9481.7999999999993</v>
      </c>
      <c r="U25">
        <f t="shared" si="7"/>
        <v>-424564</v>
      </c>
      <c r="V25">
        <f t="shared" si="8"/>
        <v>11456.5</v>
      </c>
      <c r="W25">
        <f t="shared" si="9"/>
        <v>71.900000000000006</v>
      </c>
    </row>
    <row r="26" spans="1:23" x14ac:dyDescent="0.3">
      <c r="A26" s="1">
        <v>2004</v>
      </c>
      <c r="B26" s="2">
        <f>VLOOKUP(A26,'Raw_Imigration data'!A:G, 7, FALSE)</f>
        <v>-396518</v>
      </c>
      <c r="C26" s="1">
        <f>VLOOKUP(A26,'Raw_Imigration data'!A:H, 8, FALSE)</f>
        <v>-158607.19999999998</v>
      </c>
      <c r="D26" s="1">
        <f>'Raw_Gross Domestic Product '!Z3</f>
        <v>12217.2</v>
      </c>
      <c r="E26" s="11">
        <f t="shared" si="11"/>
        <v>6.6398987474359599</v>
      </c>
      <c r="F26" s="1">
        <f>'Raw_Personal Income and Its Dis'!AA3</f>
        <v>10015.9</v>
      </c>
      <c r="G26" s="1">
        <f>Raw_Unemployment!B26</f>
        <v>66.5</v>
      </c>
      <c r="H26" s="2">
        <f t="shared" si="12"/>
        <v>-424564</v>
      </c>
      <c r="I26" s="1">
        <f t="shared" si="13"/>
        <v>4.8256489555407089</v>
      </c>
      <c r="J26" s="1"/>
      <c r="K26" s="2">
        <f t="shared" si="10"/>
        <v>-396518</v>
      </c>
      <c r="L26" s="1">
        <f t="shared" si="0"/>
        <v>66.5</v>
      </c>
      <c r="M26" s="1">
        <f t="shared" si="1"/>
        <v>-424564</v>
      </c>
      <c r="N26" s="1"/>
      <c r="O26" s="1">
        <f t="shared" si="2"/>
        <v>66.5</v>
      </c>
      <c r="P26" s="1">
        <f t="shared" si="3"/>
        <v>6.6398987474359599</v>
      </c>
      <c r="Q26" s="1">
        <f t="shared" si="4"/>
        <v>-396518</v>
      </c>
      <c r="R26">
        <f t="shared" si="5"/>
        <v>-424564</v>
      </c>
      <c r="T26">
        <f t="shared" si="6"/>
        <v>10015.9</v>
      </c>
      <c r="U26">
        <f t="shared" si="7"/>
        <v>-396518</v>
      </c>
      <c r="V26">
        <f t="shared" si="8"/>
        <v>12217.2</v>
      </c>
      <c r="W26">
        <f t="shared" si="9"/>
        <v>66.5</v>
      </c>
    </row>
    <row r="27" spans="1:23" x14ac:dyDescent="0.3">
      <c r="A27" s="1">
        <v>2005</v>
      </c>
      <c r="B27" s="2">
        <f>VLOOKUP(A27,'Raw_Imigration data'!A:G, 7, FALSE)</f>
        <v>-167356</v>
      </c>
      <c r="C27" s="1">
        <f>VLOOKUP(A27,'Raw_Imigration data'!A:H, 8, FALSE)</f>
        <v>-66942.400000000009</v>
      </c>
      <c r="D27" s="1">
        <f>'Raw_Gross Domestic Product '!AA3</f>
        <v>13039.2</v>
      </c>
      <c r="E27" s="11">
        <f t="shared" si="11"/>
        <v>6.7282192319025631</v>
      </c>
      <c r="F27" s="1">
        <f>'Raw_Personal Income and Its Dis'!AB3</f>
        <v>10546.1</v>
      </c>
      <c r="G27" s="1">
        <f>Raw_Unemployment!B27</f>
        <v>61</v>
      </c>
      <c r="H27" s="2">
        <f t="shared" si="12"/>
        <v>-396518</v>
      </c>
      <c r="I27" s="1">
        <f t="shared" si="13"/>
        <v>6.6398987474359599</v>
      </c>
      <c r="J27" s="1"/>
      <c r="K27" s="2">
        <f t="shared" si="10"/>
        <v>-167356</v>
      </c>
      <c r="L27" s="1">
        <f t="shared" si="0"/>
        <v>61</v>
      </c>
      <c r="M27" s="1">
        <f t="shared" si="1"/>
        <v>-396518</v>
      </c>
      <c r="N27" s="1"/>
      <c r="O27" s="1">
        <f t="shared" si="2"/>
        <v>61</v>
      </c>
      <c r="P27" s="1">
        <f t="shared" si="3"/>
        <v>6.7282192319025631</v>
      </c>
      <c r="Q27" s="1">
        <f t="shared" si="4"/>
        <v>-167356</v>
      </c>
      <c r="R27">
        <f t="shared" si="5"/>
        <v>-396518</v>
      </c>
      <c r="T27">
        <f t="shared" si="6"/>
        <v>10546.1</v>
      </c>
      <c r="U27">
        <f t="shared" si="7"/>
        <v>-167356</v>
      </c>
      <c r="V27">
        <f t="shared" si="8"/>
        <v>13039.2</v>
      </c>
      <c r="W27">
        <f t="shared" si="9"/>
        <v>61</v>
      </c>
    </row>
    <row r="28" spans="1:23" x14ac:dyDescent="0.3">
      <c r="A28" s="1">
        <v>2006</v>
      </c>
      <c r="B28" s="2">
        <f>VLOOKUP(A28,'Raw_Imigration data'!A:G, 7, FALSE)</f>
        <v>-17132</v>
      </c>
      <c r="C28" s="1">
        <f>VLOOKUP(A28,'Raw_Imigration data'!A:H, 8, FALSE)</f>
        <v>-6852.8</v>
      </c>
      <c r="D28" s="1">
        <f>'Raw_Gross Domestic Product '!AB3</f>
        <v>13815.6</v>
      </c>
      <c r="E28" s="11">
        <f t="shared" si="11"/>
        <v>5.9543530277931129</v>
      </c>
      <c r="F28" s="1">
        <f>'Raw_Personal Income and Its Dis'!AC3</f>
        <v>11302</v>
      </c>
      <c r="G28" s="1">
        <f>Raw_Unemployment!B28</f>
        <v>55.3</v>
      </c>
      <c r="H28" s="2">
        <f t="shared" si="12"/>
        <v>-167356</v>
      </c>
      <c r="I28" s="1">
        <f t="shared" si="13"/>
        <v>6.7282192319025631</v>
      </c>
      <c r="J28" s="1"/>
      <c r="K28" s="2">
        <f t="shared" si="10"/>
        <v>-17132</v>
      </c>
      <c r="L28" s="1">
        <f t="shared" si="0"/>
        <v>55.3</v>
      </c>
      <c r="M28" s="1">
        <f t="shared" si="1"/>
        <v>-167356</v>
      </c>
      <c r="N28" s="1"/>
      <c r="O28" s="1">
        <f t="shared" si="2"/>
        <v>55.3</v>
      </c>
      <c r="P28" s="1">
        <f t="shared" si="3"/>
        <v>5.9543530277931129</v>
      </c>
      <c r="Q28" s="1">
        <f t="shared" si="4"/>
        <v>-17132</v>
      </c>
      <c r="R28">
        <f t="shared" si="5"/>
        <v>-167356</v>
      </c>
      <c r="T28">
        <f t="shared" si="6"/>
        <v>11302</v>
      </c>
      <c r="U28">
        <f t="shared" si="7"/>
        <v>-17132</v>
      </c>
      <c r="V28">
        <f t="shared" si="8"/>
        <v>13815.6</v>
      </c>
      <c r="W28">
        <f t="shared" si="9"/>
        <v>55.3</v>
      </c>
    </row>
    <row r="29" spans="1:23" x14ac:dyDescent="0.3">
      <c r="A29" s="1">
        <v>2007</v>
      </c>
      <c r="B29" s="2">
        <f>VLOOKUP(A29,'Raw_Imigration data'!A:G, 7, FALSE)</f>
        <v>-110139</v>
      </c>
      <c r="C29" s="1">
        <f>VLOOKUP(A29,'Raw_Imigration data'!A:H, 8, FALSE)</f>
        <v>-44055.6</v>
      </c>
      <c r="D29" s="1">
        <f>'Raw_Gross Domestic Product '!AC3</f>
        <v>14474.2</v>
      </c>
      <c r="E29" s="11">
        <f t="shared" si="11"/>
        <v>4.7670749008367377</v>
      </c>
      <c r="F29" s="1">
        <f>'Raw_Personal Income and Its Dis'!AD3</f>
        <v>11932.1</v>
      </c>
      <c r="G29" s="1">
        <f>Raw_Unemployment!B29</f>
        <v>55.4</v>
      </c>
      <c r="H29" s="2">
        <f t="shared" si="12"/>
        <v>-17132</v>
      </c>
      <c r="I29" s="1">
        <f t="shared" si="13"/>
        <v>5.9543530277931129</v>
      </c>
      <c r="J29" s="1"/>
      <c r="K29" s="2">
        <f t="shared" si="10"/>
        <v>-110139</v>
      </c>
      <c r="L29" s="1">
        <f t="shared" si="0"/>
        <v>55.4</v>
      </c>
      <c r="M29" s="1">
        <f t="shared" si="1"/>
        <v>-17132</v>
      </c>
      <c r="N29" s="1"/>
      <c r="O29" s="1">
        <f t="shared" si="2"/>
        <v>55.4</v>
      </c>
      <c r="P29" s="1">
        <f t="shared" si="3"/>
        <v>4.7670749008367377</v>
      </c>
      <c r="Q29" s="1">
        <f t="shared" si="4"/>
        <v>-110139</v>
      </c>
      <c r="R29">
        <f t="shared" si="5"/>
        <v>-17132</v>
      </c>
      <c r="T29">
        <f t="shared" si="6"/>
        <v>11932.1</v>
      </c>
      <c r="U29">
        <f t="shared" si="7"/>
        <v>-110139</v>
      </c>
      <c r="V29">
        <f t="shared" si="8"/>
        <v>14474.2</v>
      </c>
      <c r="W29">
        <f t="shared" si="9"/>
        <v>55.4</v>
      </c>
    </row>
    <row r="30" spans="1:23" x14ac:dyDescent="0.3">
      <c r="A30" s="1">
        <v>2008</v>
      </c>
      <c r="B30" s="2">
        <f>VLOOKUP(A30,'Raw_Imigration data'!A:G, 7, FALSE)</f>
        <v>-3825</v>
      </c>
      <c r="C30" s="1">
        <f>VLOOKUP(A30,'Raw_Imigration data'!A:H, 8, FALSE)</f>
        <v>-1530</v>
      </c>
      <c r="D30" s="1">
        <f>'Raw_Gross Domestic Product '!AD3</f>
        <v>14769.9</v>
      </c>
      <c r="E30" s="11">
        <f t="shared" si="11"/>
        <v>2.0429453786737706</v>
      </c>
      <c r="F30" s="1">
        <f>'Raw_Personal Income and Its Dis'!AE3</f>
        <v>12425.7</v>
      </c>
      <c r="G30" s="1">
        <f>Raw_Unemployment!B30</f>
        <v>69.599999999999994</v>
      </c>
      <c r="H30" s="2">
        <f t="shared" si="12"/>
        <v>-110139</v>
      </c>
      <c r="I30" s="1">
        <f t="shared" si="13"/>
        <v>4.7670749008367377</v>
      </c>
      <c r="J30" s="1"/>
      <c r="K30" s="2">
        <f t="shared" si="10"/>
        <v>-3825</v>
      </c>
      <c r="L30" s="1">
        <f t="shared" si="0"/>
        <v>69.599999999999994</v>
      </c>
      <c r="M30" s="1">
        <f t="shared" si="1"/>
        <v>-110139</v>
      </c>
      <c r="N30" s="1"/>
      <c r="O30" s="1">
        <f t="shared" si="2"/>
        <v>69.599999999999994</v>
      </c>
      <c r="P30" s="1">
        <f t="shared" si="3"/>
        <v>2.0429453786737706</v>
      </c>
      <c r="Q30" s="1">
        <f t="shared" si="4"/>
        <v>-3825</v>
      </c>
      <c r="R30">
        <f t="shared" si="5"/>
        <v>-110139</v>
      </c>
      <c r="T30">
        <f t="shared" si="6"/>
        <v>12425.7</v>
      </c>
      <c r="U30">
        <f t="shared" si="7"/>
        <v>-3825</v>
      </c>
      <c r="V30">
        <f t="shared" si="8"/>
        <v>14769.9</v>
      </c>
      <c r="W30">
        <f t="shared" si="9"/>
        <v>69.599999999999994</v>
      </c>
    </row>
    <row r="31" spans="1:23" x14ac:dyDescent="0.3">
      <c r="A31" s="1">
        <v>2009</v>
      </c>
      <c r="B31" s="2">
        <f>VLOOKUP(A31,'Raw_Imigration data'!A:G, 7, FALSE)</f>
        <v>243114</v>
      </c>
      <c r="C31" s="1">
        <f>VLOOKUP(A31,'Raw_Imigration data'!A:H, 8, FALSE)</f>
        <v>97245.6</v>
      </c>
      <c r="D31" s="1">
        <f>'Raw_Gross Domestic Product '!AE3</f>
        <v>14478.1</v>
      </c>
      <c r="E31" s="11">
        <f t="shared" si="11"/>
        <v>-1.9756396454952252</v>
      </c>
      <c r="F31" s="1">
        <f>'Raw_Personal Income and Its Dis'!AF3</f>
        <v>12065.7</v>
      </c>
      <c r="G31" s="1">
        <f>Raw_Unemployment!B31</f>
        <v>111.4</v>
      </c>
      <c r="H31" s="2">
        <f t="shared" si="12"/>
        <v>-3825</v>
      </c>
      <c r="I31" s="1">
        <f t="shared" si="13"/>
        <v>2.0429453786737706</v>
      </c>
      <c r="J31" s="1"/>
      <c r="K31" s="2">
        <f t="shared" si="10"/>
        <v>243114</v>
      </c>
      <c r="L31" s="1">
        <f t="shared" si="0"/>
        <v>111.4</v>
      </c>
      <c r="M31" s="1">
        <f t="shared" si="1"/>
        <v>-3825</v>
      </c>
      <c r="N31" s="1"/>
      <c r="O31" s="1">
        <f t="shared" si="2"/>
        <v>111.4</v>
      </c>
      <c r="P31" s="1">
        <f t="shared" si="3"/>
        <v>-1.9756396454952252</v>
      </c>
      <c r="Q31" s="1">
        <f t="shared" si="4"/>
        <v>243114</v>
      </c>
      <c r="R31">
        <f t="shared" si="5"/>
        <v>-3825</v>
      </c>
      <c r="T31">
        <f t="shared" si="6"/>
        <v>12065.7</v>
      </c>
      <c r="U31">
        <f t="shared" si="7"/>
        <v>243114</v>
      </c>
      <c r="V31">
        <f t="shared" si="8"/>
        <v>14478.1</v>
      </c>
      <c r="W31">
        <f t="shared" si="9"/>
        <v>111.4</v>
      </c>
    </row>
    <row r="32" spans="1:23" x14ac:dyDescent="0.3">
      <c r="A32" s="1">
        <v>2010</v>
      </c>
      <c r="B32" s="2">
        <f>VLOOKUP(A32,'Raw_Imigration data'!A:G, 7, FALSE)</f>
        <v>261671</v>
      </c>
      <c r="C32" s="1">
        <f>VLOOKUP(A32,'Raw_Imigration data'!A:H, 8, FALSE)</f>
        <v>104668.4</v>
      </c>
      <c r="D32" s="1">
        <f>'Raw_Gross Domestic Product '!AF3</f>
        <v>15049</v>
      </c>
      <c r="E32" s="11">
        <f t="shared" si="11"/>
        <v>3.9431969664527777</v>
      </c>
      <c r="F32" s="1">
        <f>'Raw_Personal Income and Its Dis'!AG3</f>
        <v>12556.6</v>
      </c>
      <c r="G32" s="1">
        <f>Raw_Unemployment!B32</f>
        <v>115.3</v>
      </c>
      <c r="H32" s="2">
        <f t="shared" si="12"/>
        <v>243114</v>
      </c>
      <c r="I32" s="1">
        <f t="shared" si="13"/>
        <v>-1.9756396454952252</v>
      </c>
      <c r="J32" s="1"/>
      <c r="K32" s="2">
        <f t="shared" si="10"/>
        <v>261671</v>
      </c>
      <c r="L32" s="1">
        <f t="shared" si="0"/>
        <v>115.3</v>
      </c>
      <c r="M32" s="1">
        <f t="shared" si="1"/>
        <v>243114</v>
      </c>
      <c r="N32" s="1"/>
      <c r="O32" s="1">
        <f t="shared" si="2"/>
        <v>115.3</v>
      </c>
      <c r="P32" s="1">
        <f t="shared" si="3"/>
        <v>3.9431969664527777</v>
      </c>
      <c r="Q32" s="1">
        <f t="shared" si="4"/>
        <v>261671</v>
      </c>
      <c r="R32">
        <f t="shared" si="5"/>
        <v>243114</v>
      </c>
      <c r="T32">
        <f t="shared" si="6"/>
        <v>12556.6</v>
      </c>
      <c r="U32">
        <f t="shared" si="7"/>
        <v>261671</v>
      </c>
      <c r="V32">
        <f t="shared" si="8"/>
        <v>15049</v>
      </c>
      <c r="W32">
        <f t="shared" si="9"/>
        <v>115.3</v>
      </c>
    </row>
    <row r="33" spans="1:23" x14ac:dyDescent="0.3">
      <c r="A33" s="1">
        <v>2011</v>
      </c>
      <c r="B33" s="2">
        <f>VLOOKUP(A33,'Raw_Imigration data'!A:G, 7, FALSE)</f>
        <v>405965</v>
      </c>
      <c r="C33" s="1">
        <f>VLOOKUP(A33,'Raw_Imigration data'!A:H, 8, FALSE)</f>
        <v>162386</v>
      </c>
      <c r="D33" s="1">
        <f>'Raw_Gross Domestic Product '!AG3</f>
        <v>15599.7</v>
      </c>
      <c r="E33" s="11">
        <f t="shared" si="11"/>
        <v>3.6593793607548726</v>
      </c>
      <c r="F33" s="1">
        <f>'Raw_Personal Income and Its Dis'!AH3</f>
        <v>13309.6</v>
      </c>
      <c r="G33" s="1">
        <f>Raw_Unemployment!B33</f>
        <v>107.2</v>
      </c>
      <c r="H33" s="2">
        <f t="shared" si="12"/>
        <v>261671</v>
      </c>
      <c r="I33" s="1">
        <f t="shared" si="13"/>
        <v>3.9431969664527777</v>
      </c>
      <c r="J33" s="1"/>
      <c r="K33" s="2">
        <f t="shared" si="10"/>
        <v>405965</v>
      </c>
      <c r="L33" s="1">
        <f t="shared" si="0"/>
        <v>107.2</v>
      </c>
      <c r="M33" s="1">
        <f t="shared" si="1"/>
        <v>261671</v>
      </c>
      <c r="N33" s="1"/>
      <c r="O33" s="1">
        <f t="shared" si="2"/>
        <v>107.2</v>
      </c>
      <c r="P33" s="1">
        <f t="shared" si="3"/>
        <v>3.6593793607548726</v>
      </c>
      <c r="Q33" s="1">
        <f t="shared" si="4"/>
        <v>405965</v>
      </c>
      <c r="R33">
        <f t="shared" si="5"/>
        <v>261671</v>
      </c>
      <c r="T33">
        <f t="shared" si="6"/>
        <v>13309.6</v>
      </c>
      <c r="U33">
        <f t="shared" si="7"/>
        <v>405965</v>
      </c>
      <c r="V33">
        <f t="shared" si="8"/>
        <v>15599.7</v>
      </c>
      <c r="W33">
        <f t="shared" si="9"/>
        <v>107.2</v>
      </c>
    </row>
    <row r="34" spans="1:23" x14ac:dyDescent="0.3">
      <c r="A34" s="1">
        <v>2012</v>
      </c>
      <c r="B34" s="2">
        <f>VLOOKUP(A34,'Raw_Imigration data'!A:G, 7, FALSE)</f>
        <v>443126</v>
      </c>
      <c r="C34" s="1">
        <f>VLOOKUP(A34,'Raw_Imigration data'!A:H, 8, FALSE)</f>
        <v>177250.4</v>
      </c>
      <c r="D34" s="1">
        <f>'Raw_Gross Domestic Product '!AH3</f>
        <v>16254</v>
      </c>
      <c r="E34" s="11">
        <f t="shared" si="11"/>
        <v>4.1943114290659391</v>
      </c>
      <c r="F34" s="1">
        <f>'Raw_Personal Income and Its Dis'!AI3</f>
        <v>13917.8</v>
      </c>
      <c r="G34" s="1">
        <f>Raw_Unemployment!B34</f>
        <v>96.9</v>
      </c>
      <c r="H34" s="2">
        <f t="shared" si="12"/>
        <v>405965</v>
      </c>
      <c r="I34" s="1">
        <f t="shared" si="13"/>
        <v>3.6593793607548726</v>
      </c>
      <c r="J34" s="1"/>
      <c r="K34" s="2">
        <f t="shared" si="10"/>
        <v>443126</v>
      </c>
      <c r="L34" s="1">
        <f t="shared" si="0"/>
        <v>96.9</v>
      </c>
      <c r="M34" s="1">
        <f t="shared" si="1"/>
        <v>405965</v>
      </c>
      <c r="N34" s="1"/>
      <c r="O34" s="1">
        <f t="shared" si="2"/>
        <v>96.9</v>
      </c>
      <c r="P34" s="1">
        <f t="shared" si="3"/>
        <v>4.1943114290659391</v>
      </c>
      <c r="Q34" s="1">
        <f t="shared" si="4"/>
        <v>443126</v>
      </c>
      <c r="R34">
        <f t="shared" si="5"/>
        <v>405965</v>
      </c>
      <c r="T34">
        <f t="shared" si="6"/>
        <v>13917.8</v>
      </c>
      <c r="U34">
        <f t="shared" si="7"/>
        <v>443126</v>
      </c>
      <c r="V34">
        <f t="shared" si="8"/>
        <v>16254</v>
      </c>
      <c r="W34">
        <f t="shared" si="9"/>
        <v>96.9</v>
      </c>
    </row>
    <row r="35" spans="1:23" x14ac:dyDescent="0.3">
      <c r="A35" s="1">
        <v>2013</v>
      </c>
      <c r="B35" s="2">
        <f>VLOOKUP(A35,'Raw_Imigration data'!A:G, 7, FALSE)</f>
        <v>449288</v>
      </c>
      <c r="C35" s="1">
        <f>VLOOKUP(A35,'Raw_Imigration data'!A:H, 8, FALSE)</f>
        <v>179715.20000000001</v>
      </c>
      <c r="D35" s="1">
        <f>'Raw_Gross Domestic Product '!AI3</f>
        <v>16880.7</v>
      </c>
      <c r="E35" s="11">
        <f t="shared" si="11"/>
        <v>3.855666297526767</v>
      </c>
      <c r="F35" s="1">
        <f>'Raw_Personal Income and Its Dis'!AJ3</f>
        <v>14068.8</v>
      </c>
      <c r="G35" s="1">
        <f>Raw_Unemployment!B35</f>
        <v>88.3</v>
      </c>
      <c r="H35" s="2">
        <f t="shared" si="12"/>
        <v>443126</v>
      </c>
      <c r="I35" s="1">
        <f t="shared" si="13"/>
        <v>4.1943114290659391</v>
      </c>
      <c r="J35" s="1"/>
      <c r="K35" s="2">
        <f t="shared" si="10"/>
        <v>449288</v>
      </c>
      <c r="L35" s="1">
        <f t="shared" si="0"/>
        <v>88.3</v>
      </c>
      <c r="M35" s="1">
        <f t="shared" si="1"/>
        <v>443126</v>
      </c>
      <c r="N35" s="1"/>
      <c r="O35" s="1">
        <f t="shared" si="2"/>
        <v>88.3</v>
      </c>
      <c r="P35" s="1">
        <f t="shared" si="3"/>
        <v>3.855666297526767</v>
      </c>
      <c r="Q35" s="1">
        <f t="shared" si="4"/>
        <v>449288</v>
      </c>
      <c r="R35">
        <f t="shared" si="5"/>
        <v>443126</v>
      </c>
      <c r="T35">
        <f t="shared" si="6"/>
        <v>14068.8</v>
      </c>
      <c r="U35">
        <f t="shared" si="7"/>
        <v>449288</v>
      </c>
      <c r="V35">
        <f t="shared" si="8"/>
        <v>16880.7</v>
      </c>
      <c r="W35">
        <f t="shared" si="9"/>
        <v>88.3</v>
      </c>
    </row>
    <row r="36" spans="1:23" x14ac:dyDescent="0.3">
      <c r="A36" s="1">
        <v>2014</v>
      </c>
      <c r="B36" s="2">
        <f>VLOOKUP(A36,'Raw_Imigration data'!A:G, 7, FALSE)</f>
        <v>517631</v>
      </c>
      <c r="C36" s="1">
        <f>VLOOKUP(A36,'Raw_Imigration data'!A:H, 8, FALSE)</f>
        <v>207052.4</v>
      </c>
      <c r="D36" s="1">
        <f>'Raw_Gross Domestic Product '!AJ3</f>
        <v>17608.099999999999</v>
      </c>
      <c r="E36" s="11">
        <f t="shared" si="11"/>
        <v>4.3090630127897409</v>
      </c>
      <c r="F36" s="1">
        <f>'Raw_Personal Income and Its Dis'!AK3</f>
        <v>14784.1</v>
      </c>
      <c r="G36" s="1">
        <f>Raw_Unemployment!B36</f>
        <v>73.900000000000006</v>
      </c>
      <c r="H36" s="2">
        <f t="shared" si="12"/>
        <v>449288</v>
      </c>
      <c r="I36" s="1">
        <f t="shared" si="13"/>
        <v>3.855666297526767</v>
      </c>
      <c r="J36" s="1"/>
      <c r="K36" s="2">
        <f t="shared" si="10"/>
        <v>517631</v>
      </c>
      <c r="L36" s="1">
        <f t="shared" si="0"/>
        <v>73.900000000000006</v>
      </c>
      <c r="M36" s="1">
        <f t="shared" si="1"/>
        <v>449288</v>
      </c>
      <c r="N36" s="1"/>
      <c r="O36" s="1">
        <f t="shared" si="2"/>
        <v>73.900000000000006</v>
      </c>
      <c r="P36" s="1">
        <f t="shared" si="3"/>
        <v>4.3090630127897409</v>
      </c>
      <c r="Q36" s="1">
        <f t="shared" si="4"/>
        <v>517631</v>
      </c>
      <c r="R36">
        <f t="shared" si="5"/>
        <v>449288</v>
      </c>
      <c r="T36">
        <f t="shared" si="6"/>
        <v>14784.1</v>
      </c>
      <c r="U36">
        <f t="shared" si="7"/>
        <v>517631</v>
      </c>
      <c r="V36">
        <f t="shared" si="8"/>
        <v>17608.099999999999</v>
      </c>
      <c r="W36">
        <f t="shared" si="9"/>
        <v>73.900000000000006</v>
      </c>
    </row>
    <row r="37" spans="1:23" x14ac:dyDescent="0.3">
      <c r="A37" s="1">
        <v>2015</v>
      </c>
      <c r="B37" s="2">
        <f>VLOOKUP(A37,'Raw_Imigration data'!A:G, 7, FALSE)</f>
        <v>667012</v>
      </c>
      <c r="C37" s="1">
        <f>VLOOKUP(A37,'Raw_Imigration data'!A:H, 8, FALSE)</f>
        <v>266804.80000000005</v>
      </c>
      <c r="D37" s="1">
        <f>'Raw_Gross Domestic Product '!AK3</f>
        <v>18295</v>
      </c>
      <c r="E37" s="11">
        <f t="shared" si="11"/>
        <v>3.9010455415405496</v>
      </c>
      <c r="F37" s="1">
        <f>'Raw_Personal Income and Its Dis'!AL3</f>
        <v>15473.7</v>
      </c>
      <c r="G37" s="1">
        <f>Raw_Unemployment!B37</f>
        <v>63.3</v>
      </c>
      <c r="H37" s="2">
        <f t="shared" si="12"/>
        <v>517631</v>
      </c>
      <c r="I37" s="1">
        <f t="shared" si="13"/>
        <v>4.3090630127897409</v>
      </c>
      <c r="J37" s="1"/>
      <c r="K37" s="2">
        <f t="shared" si="10"/>
        <v>667012</v>
      </c>
      <c r="L37" s="1">
        <f t="shared" si="0"/>
        <v>63.3</v>
      </c>
      <c r="M37" s="1">
        <f t="shared" si="1"/>
        <v>517631</v>
      </c>
      <c r="N37" s="1"/>
      <c r="O37" s="1">
        <f t="shared" si="2"/>
        <v>63.3</v>
      </c>
      <c r="P37" s="1">
        <f t="shared" si="3"/>
        <v>3.9010455415405496</v>
      </c>
      <c r="Q37" s="1">
        <f t="shared" si="4"/>
        <v>667012</v>
      </c>
      <c r="R37">
        <f t="shared" si="5"/>
        <v>517631</v>
      </c>
      <c r="T37">
        <f t="shared" si="6"/>
        <v>15473.7</v>
      </c>
      <c r="U37">
        <f t="shared" si="7"/>
        <v>667012</v>
      </c>
      <c r="V37">
        <f t="shared" si="8"/>
        <v>18295</v>
      </c>
      <c r="W37">
        <f t="shared" si="9"/>
        <v>63.3</v>
      </c>
    </row>
    <row r="38" spans="1:23" x14ac:dyDescent="0.3">
      <c r="A38" s="1">
        <v>2016</v>
      </c>
      <c r="B38" s="2">
        <f>VLOOKUP(A38,'Raw_Imigration data'!A:G, 7, FALSE)</f>
        <v>829752</v>
      </c>
      <c r="C38" s="1">
        <f>VLOOKUP(A38,'Raw_Imigration data'!A:H, 8, FALSE)</f>
        <v>331900.80000000005</v>
      </c>
      <c r="D38" s="1">
        <f>'Raw_Gross Domestic Product '!AL3</f>
        <v>18804.900000000001</v>
      </c>
      <c r="E38" s="11">
        <f t="shared" si="11"/>
        <v>2.787100300628595</v>
      </c>
      <c r="F38" s="1">
        <f>'Raw_Personal Income and Its Dis'!AM3</f>
        <v>15887.7</v>
      </c>
      <c r="G38" s="1">
        <f>Raw_Unemployment!B38</f>
        <v>58.5</v>
      </c>
      <c r="H38" s="2">
        <f t="shared" si="12"/>
        <v>667012</v>
      </c>
      <c r="I38" s="1">
        <f t="shared" si="13"/>
        <v>3.9010455415405496</v>
      </c>
      <c r="J38" s="1"/>
      <c r="K38" s="2">
        <f t="shared" si="10"/>
        <v>829752</v>
      </c>
      <c r="L38" s="1">
        <f t="shared" si="0"/>
        <v>58.5</v>
      </c>
      <c r="M38" s="1">
        <f t="shared" si="1"/>
        <v>667012</v>
      </c>
      <c r="N38" s="1"/>
      <c r="O38" s="1">
        <f t="shared" si="2"/>
        <v>58.5</v>
      </c>
      <c r="P38" s="1">
        <f t="shared" si="3"/>
        <v>2.787100300628595</v>
      </c>
      <c r="Q38" s="1">
        <f t="shared" si="4"/>
        <v>829752</v>
      </c>
      <c r="R38">
        <f t="shared" si="5"/>
        <v>667012</v>
      </c>
      <c r="T38">
        <f t="shared" si="6"/>
        <v>15887.7</v>
      </c>
      <c r="U38">
        <f t="shared" si="7"/>
        <v>829752</v>
      </c>
      <c r="V38">
        <f t="shared" si="8"/>
        <v>18804.900000000001</v>
      </c>
      <c r="W38">
        <f t="shared" si="9"/>
        <v>58.5</v>
      </c>
    </row>
    <row r="39" spans="1:23" x14ac:dyDescent="0.3">
      <c r="A39" s="1">
        <v>2017</v>
      </c>
      <c r="B39" s="2">
        <f>VLOOKUP(A39,'Raw_Imigration data'!A:G, 7, FALSE)</f>
        <v>796106</v>
      </c>
      <c r="C39" s="1">
        <f>VLOOKUP(A39,'Raw_Imigration data'!A:H, 8, FALSE)</f>
        <v>318442.39999999997</v>
      </c>
      <c r="D39" s="1">
        <f>'Raw_Gross Domestic Product '!AM3</f>
        <v>19612.099999999999</v>
      </c>
      <c r="E39" s="11">
        <f t="shared" si="11"/>
        <v>4.2924982318438127</v>
      </c>
      <c r="F39" s="1">
        <f>'Raw_Personal Income and Its Dis'!AN3</f>
        <v>16662.8</v>
      </c>
      <c r="G39" s="1">
        <f>Raw_Unemployment!B39</f>
        <v>52.3</v>
      </c>
      <c r="H39" s="2">
        <f t="shared" si="12"/>
        <v>829752</v>
      </c>
      <c r="I39" s="1">
        <f t="shared" si="13"/>
        <v>2.787100300628595</v>
      </c>
      <c r="J39" s="1"/>
      <c r="K39" s="2">
        <f t="shared" si="10"/>
        <v>796106</v>
      </c>
      <c r="L39" s="1">
        <f t="shared" si="0"/>
        <v>52.3</v>
      </c>
      <c r="M39" s="1">
        <f t="shared" si="1"/>
        <v>829752</v>
      </c>
      <c r="N39" s="1"/>
      <c r="O39" s="1">
        <f t="shared" si="2"/>
        <v>52.3</v>
      </c>
      <c r="P39" s="1">
        <f t="shared" si="3"/>
        <v>4.2924982318438127</v>
      </c>
      <c r="Q39" s="1">
        <f t="shared" si="4"/>
        <v>796106</v>
      </c>
      <c r="R39">
        <f t="shared" si="5"/>
        <v>829752</v>
      </c>
      <c r="T39">
        <f t="shared" si="6"/>
        <v>16662.8</v>
      </c>
      <c r="U39">
        <f t="shared" si="7"/>
        <v>796106</v>
      </c>
      <c r="V39">
        <f t="shared" si="8"/>
        <v>19612.099999999999</v>
      </c>
      <c r="W39">
        <f t="shared" si="9"/>
        <v>52.3</v>
      </c>
    </row>
    <row r="40" spans="1:23" x14ac:dyDescent="0.3">
      <c r="A40" s="1">
        <v>2018</v>
      </c>
      <c r="B40" s="2">
        <f>VLOOKUP(A40,'Raw_Imigration data'!A:G, 7, FALSE)</f>
        <v>631502</v>
      </c>
      <c r="C40" s="1">
        <f>VLOOKUP(A40,'Raw_Imigration data'!A:H, 8, FALSE)</f>
        <v>252600.80000000002</v>
      </c>
      <c r="D40" s="1">
        <f>'Raw_Gross Domestic Product '!AN3</f>
        <v>20656.5</v>
      </c>
      <c r="E40" s="11">
        <f t="shared" si="11"/>
        <v>5.3252838808694714</v>
      </c>
      <c r="F40" s="1">
        <f>'Raw_Personal Income and Its Dis'!AO3</f>
        <v>17528.2</v>
      </c>
      <c r="G40" s="1">
        <f>Raw_Unemployment!B40</f>
        <v>46.7</v>
      </c>
      <c r="H40" s="2">
        <f t="shared" si="12"/>
        <v>796106</v>
      </c>
      <c r="I40" s="1">
        <f t="shared" si="13"/>
        <v>4.2924982318438127</v>
      </c>
      <c r="J40" s="1"/>
      <c r="K40" s="2">
        <f t="shared" si="10"/>
        <v>631502</v>
      </c>
      <c r="L40" s="1">
        <f t="shared" si="0"/>
        <v>46.7</v>
      </c>
      <c r="M40" s="1">
        <f t="shared" si="1"/>
        <v>796106</v>
      </c>
      <c r="N40" s="1"/>
      <c r="O40" s="1">
        <f t="shared" si="2"/>
        <v>46.7</v>
      </c>
      <c r="P40" s="1">
        <f t="shared" si="3"/>
        <v>5.3252838808694714</v>
      </c>
      <c r="Q40" s="1">
        <f t="shared" si="4"/>
        <v>631502</v>
      </c>
      <c r="R40">
        <f t="shared" si="5"/>
        <v>796106</v>
      </c>
      <c r="T40">
        <f t="shared" si="6"/>
        <v>17528.2</v>
      </c>
      <c r="U40">
        <f t="shared" si="7"/>
        <v>631502</v>
      </c>
      <c r="V40">
        <f t="shared" si="8"/>
        <v>20656.5</v>
      </c>
      <c r="W40">
        <f t="shared" si="9"/>
        <v>46.7</v>
      </c>
    </row>
    <row r="41" spans="1:23" x14ac:dyDescent="0.3">
      <c r="A41" s="1">
        <v>2019</v>
      </c>
      <c r="B41" s="2">
        <f>VLOOKUP(A41,'Raw_Imigration data'!A:G, 7, FALSE)</f>
        <v>543373</v>
      </c>
      <c r="C41" s="1">
        <f>VLOOKUP(A41,'Raw_Imigration data'!A:H, 8, FALSE)</f>
        <v>217349.2</v>
      </c>
      <c r="D41" s="1">
        <f>'Raw_Gross Domestic Product '!AO3</f>
        <v>21540</v>
      </c>
      <c r="E41" s="11">
        <f t="shared" si="11"/>
        <v>4.2771040592549561</v>
      </c>
      <c r="F41" s="1">
        <f>'Raw_Personal Income and Its Dis'!AP3</f>
        <v>18363.2</v>
      </c>
      <c r="G41" s="1">
        <f>Raw_Unemployment!B41</f>
        <v>44.1</v>
      </c>
      <c r="H41" s="2">
        <f t="shared" si="12"/>
        <v>631502</v>
      </c>
      <c r="I41" s="1">
        <f t="shared" si="13"/>
        <v>5.3252838808694714</v>
      </c>
      <c r="J41" s="1"/>
      <c r="K41" s="2">
        <f t="shared" si="10"/>
        <v>543373</v>
      </c>
      <c r="L41" s="1">
        <f t="shared" si="0"/>
        <v>44.1</v>
      </c>
      <c r="M41" s="1">
        <f t="shared" si="1"/>
        <v>631502</v>
      </c>
      <c r="N41" s="1"/>
      <c r="O41" s="1">
        <f t="shared" si="2"/>
        <v>44.1</v>
      </c>
      <c r="P41" s="1">
        <f t="shared" si="3"/>
        <v>4.2771040592549561</v>
      </c>
      <c r="Q41" s="1">
        <f t="shared" si="4"/>
        <v>543373</v>
      </c>
      <c r="R41">
        <f t="shared" si="5"/>
        <v>631502</v>
      </c>
      <c r="T41">
        <f t="shared" si="6"/>
        <v>18363.2</v>
      </c>
      <c r="U41">
        <f t="shared" si="7"/>
        <v>543373</v>
      </c>
      <c r="V41">
        <f t="shared" si="8"/>
        <v>21540</v>
      </c>
      <c r="W41">
        <f t="shared" si="9"/>
        <v>44.1</v>
      </c>
    </row>
    <row r="42" spans="1:23" x14ac:dyDescent="0.3">
      <c r="A42" s="1">
        <v>2020</v>
      </c>
      <c r="B42" s="2">
        <f>VLOOKUP(A42,'Raw_Imigration data'!A:G, 7, FALSE)</f>
        <v>313888</v>
      </c>
      <c r="C42" s="1">
        <f>VLOOKUP(A42,'Raw_Imigration data'!A:H, 8, FALSE)</f>
        <v>125555.2</v>
      </c>
      <c r="D42" s="1">
        <f>'Raw_Gross Domestic Product '!AP3</f>
        <v>21375.3</v>
      </c>
      <c r="E42" s="11">
        <f t="shared" si="11"/>
        <v>-0.76462395543175821</v>
      </c>
      <c r="F42" s="1">
        <f>'Raw_Personal Income and Its Dis'!AQ3</f>
        <v>19631.7</v>
      </c>
      <c r="G42" s="1">
        <f>Raw_Unemployment!B42</f>
        <v>97.2</v>
      </c>
      <c r="H42" s="2">
        <f t="shared" si="12"/>
        <v>543373</v>
      </c>
      <c r="I42" s="1">
        <f t="shared" si="13"/>
        <v>4.2771040592549561</v>
      </c>
      <c r="J42" s="1"/>
      <c r="K42" s="2">
        <f t="shared" si="10"/>
        <v>313888</v>
      </c>
      <c r="L42" s="1">
        <f t="shared" si="0"/>
        <v>97.2</v>
      </c>
      <c r="M42" s="1">
        <f t="shared" si="1"/>
        <v>543373</v>
      </c>
      <c r="N42" s="1"/>
      <c r="O42" s="1">
        <f t="shared" si="2"/>
        <v>97.2</v>
      </c>
      <c r="P42" s="1">
        <f t="shared" si="3"/>
        <v>-0.76462395543175821</v>
      </c>
      <c r="Q42" s="1">
        <f t="shared" si="4"/>
        <v>313888</v>
      </c>
      <c r="R42">
        <f t="shared" si="5"/>
        <v>543373</v>
      </c>
      <c r="T42">
        <f t="shared" si="6"/>
        <v>19631.7</v>
      </c>
      <c r="U42">
        <f t="shared" si="7"/>
        <v>313888</v>
      </c>
      <c r="V42">
        <f t="shared" si="8"/>
        <v>21375.3</v>
      </c>
      <c r="W42">
        <f t="shared" si="9"/>
        <v>97.2</v>
      </c>
    </row>
    <row r="43" spans="1:23" x14ac:dyDescent="0.3">
      <c r="A43" s="1">
        <v>2021</v>
      </c>
      <c r="B43" s="2">
        <f>VLOOKUP(A43,'Raw_Imigration data'!A:G, 7, FALSE)</f>
        <v>484038</v>
      </c>
      <c r="C43" s="1">
        <f>VLOOKUP(A43,'Raw_Imigration data'!A:H, 8, FALSE)</f>
        <v>193615.2</v>
      </c>
      <c r="D43" s="1">
        <f>'Raw_Gross Domestic Product '!AQ3</f>
        <v>23725.599999999999</v>
      </c>
      <c r="E43" s="11">
        <f t="shared" si="11"/>
        <v>10.995401234134723</v>
      </c>
      <c r="F43" s="1">
        <f>'Raw_Personal Income and Its Dis'!AR3</f>
        <v>21498.9</v>
      </c>
      <c r="G43" s="1">
        <f>Raw_Unemployment!B43</f>
        <v>64.3</v>
      </c>
      <c r="H43" s="2">
        <f t="shared" si="12"/>
        <v>313888</v>
      </c>
      <c r="I43" s="1">
        <f t="shared" si="13"/>
        <v>-0.76462395543175821</v>
      </c>
      <c r="J43" s="1"/>
      <c r="K43" s="2">
        <f t="shared" si="10"/>
        <v>484038</v>
      </c>
      <c r="L43" s="1">
        <f t="shared" si="0"/>
        <v>64.3</v>
      </c>
      <c r="M43" s="1">
        <f t="shared" si="1"/>
        <v>313888</v>
      </c>
      <c r="N43" s="1"/>
      <c r="O43" s="1">
        <f t="shared" si="2"/>
        <v>64.3</v>
      </c>
      <c r="P43" s="1">
        <f t="shared" si="3"/>
        <v>10.995401234134723</v>
      </c>
      <c r="Q43" s="1">
        <f t="shared" si="4"/>
        <v>484038</v>
      </c>
      <c r="R43">
        <f t="shared" si="5"/>
        <v>313888</v>
      </c>
      <c r="T43">
        <f t="shared" si="6"/>
        <v>21498.9</v>
      </c>
      <c r="U43">
        <f t="shared" si="7"/>
        <v>484038</v>
      </c>
      <c r="V43">
        <f t="shared" si="8"/>
        <v>23725.599999999999</v>
      </c>
      <c r="W43">
        <f t="shared" si="9"/>
        <v>64.3</v>
      </c>
    </row>
    <row r="44" spans="1:23" x14ac:dyDescent="0.3">
      <c r="A44" s="1"/>
      <c r="B44" s="1"/>
      <c r="C44" s="1"/>
      <c r="E44" s="1"/>
      <c r="F44" s="1"/>
      <c r="G44" s="1"/>
      <c r="H44" s="1"/>
      <c r="I44" s="1"/>
      <c r="J44" s="1"/>
      <c r="K44" s="1"/>
      <c r="L44" s="1"/>
      <c r="M44" s="2"/>
      <c r="N44" s="1"/>
      <c r="O44" s="1"/>
      <c r="P44" s="11"/>
      <c r="Q44" s="1"/>
      <c r="R44" s="1"/>
    </row>
    <row r="45" spans="1:2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1"/>
      <c r="O45" s="1"/>
      <c r="P45" s="11"/>
      <c r="Q45" s="1"/>
      <c r="R45" s="1"/>
    </row>
    <row r="46" spans="1:23" x14ac:dyDescent="0.3">
      <c r="L46" s="1"/>
      <c r="M46" s="2"/>
      <c r="N46" s="1"/>
      <c r="O46" s="1"/>
      <c r="P46" s="11"/>
      <c r="Q46" s="1"/>
      <c r="R46" s="1"/>
    </row>
    <row r="47" spans="1:23" x14ac:dyDescent="0.3">
      <c r="L47" s="1"/>
      <c r="M47" s="2"/>
      <c r="N47" s="1"/>
      <c r="O47" s="1"/>
      <c r="P47" s="11"/>
      <c r="Q47" s="1"/>
      <c r="R47" s="1"/>
    </row>
    <row r="48" spans="1:23" x14ac:dyDescent="0.3">
      <c r="L48" s="1"/>
      <c r="M48" s="2"/>
      <c r="N48" s="1"/>
      <c r="O48" s="1"/>
      <c r="P48" s="11"/>
      <c r="Q48" s="1"/>
      <c r="R48" s="1"/>
    </row>
  </sheetData>
  <conditionalFormatting sqref="A1:I43">
    <cfRule type="cellIs" dxfId="6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9FB3-2784-4905-8BA9-612950310CEB}">
  <dimension ref="A1:N43"/>
  <sheetViews>
    <sheetView topLeftCell="A18" workbookViewId="0">
      <selection activeCell="I17" sqref="I17"/>
    </sheetView>
  </sheetViews>
  <sheetFormatPr defaultRowHeight="14.4" x14ac:dyDescent="0.3"/>
  <cols>
    <col min="1" max="1" width="18.5546875" customWidth="1"/>
    <col min="2" max="2" width="11.88671875" customWidth="1"/>
    <col min="4" max="4" width="14.44140625" customWidth="1"/>
    <col min="5" max="5" width="12.21875" customWidth="1"/>
    <col min="6" max="6" width="14.109375" customWidth="1"/>
    <col min="10" max="10" width="16.6640625" customWidth="1"/>
    <col min="11" max="11" width="12.77734375" customWidth="1"/>
    <col min="12" max="12" width="18.44140625" customWidth="1"/>
    <col min="13" max="13" width="15" customWidth="1"/>
    <col min="14" max="14" width="17.6640625" customWidth="1"/>
  </cols>
  <sheetData>
    <row r="1" spans="1:14" x14ac:dyDescent="0.3">
      <c r="A1" s="9"/>
      <c r="B1" s="9" t="s">
        <v>178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  <c r="H1" s="9"/>
      <c r="J1" t="str">
        <f>'Master Dataset'!B1</f>
        <v>Net Immigration</v>
      </c>
      <c r="K1" t="str">
        <f>'Master Dataset'!D1</f>
        <v>GDP Nominal</v>
      </c>
      <c r="L1" t="str">
        <f>'Master Dataset'!E1</f>
        <v>GDP Growth Rate</v>
      </c>
      <c r="M1" t="str">
        <f>'Master Dataset'!F1</f>
        <v xml:space="preserve">Personal Income </v>
      </c>
      <c r="N1" t="str">
        <f>'Master Dataset'!G1</f>
        <v>Unemployment Rate</v>
      </c>
    </row>
    <row r="2" spans="1:14" x14ac:dyDescent="0.3">
      <c r="A2" s="9" t="s">
        <v>174</v>
      </c>
      <c r="B2" s="2">
        <f>AVERAGE('Master Dataset'!B2:B43)</f>
        <v>-38371.261904761908</v>
      </c>
      <c r="C2" s="2">
        <f>MEDIAN('Master Dataset'!B2:B43)</f>
        <v>-89065.5</v>
      </c>
      <c r="D2" s="1">
        <f>_xlfn.STDEV.S('Master Dataset'!B2:B43)</f>
        <v>525505.05161866394</v>
      </c>
      <c r="E2" s="2">
        <f>MIN('Master Dataset'!B2:B43)</f>
        <v>-1027905</v>
      </c>
      <c r="F2" s="2">
        <f>MAX('Master Dataset'!B2:B43)</f>
        <v>845690</v>
      </c>
      <c r="G2" s="1">
        <f>COUNT('Master Dataset'!B2:B43)</f>
        <v>42</v>
      </c>
      <c r="H2" s="1"/>
      <c r="J2">
        <f>'Master Dataset'!B2</f>
        <v>-5813</v>
      </c>
      <c r="K2">
        <f>'Master Dataset'!D2</f>
        <v>2857.3</v>
      </c>
      <c r="M2">
        <f>'Master Dataset'!F2</f>
        <v>2324.5</v>
      </c>
      <c r="N2">
        <f>'Master Dataset'!G2</f>
        <v>86.1</v>
      </c>
    </row>
    <row r="3" spans="1:14" x14ac:dyDescent="0.3">
      <c r="A3" s="9" t="s">
        <v>175</v>
      </c>
      <c r="B3" s="1">
        <f>AVERAGE('Master Dataset'!E2:E43)</f>
        <v>5.3313411959760488</v>
      </c>
      <c r="C3" s="1">
        <f>MEDIAN('Master Dataset'!E2:E43)</f>
        <v>5.3252838808694714</v>
      </c>
      <c r="D3" s="1">
        <f>_xlfn.STDEV.S('Master Dataset'!E2:E43)</f>
        <v>2.6750045952818233</v>
      </c>
      <c r="E3" s="1">
        <f>MIN('Master Dataset'!E2:E43)</f>
        <v>-1.9756396454952252</v>
      </c>
      <c r="F3" s="1">
        <f>MAX('Master Dataset'!E2:E43)</f>
        <v>12.238826864522444</v>
      </c>
      <c r="G3" s="1">
        <f>COUNT('Master Dataset'!E2:E43)</f>
        <v>41</v>
      </c>
      <c r="H3" s="1"/>
      <c r="J3">
        <f>'Master Dataset'!B3</f>
        <v>-86988</v>
      </c>
      <c r="K3">
        <f>'Master Dataset'!D3</f>
        <v>3207</v>
      </c>
      <c r="L3">
        <f>'Master Dataset'!E3</f>
        <v>12.238826864522444</v>
      </c>
      <c r="M3">
        <f>'Master Dataset'!F3</f>
        <v>2603.1999999999998</v>
      </c>
      <c r="N3">
        <f>'Master Dataset'!G3</f>
        <v>91.4</v>
      </c>
    </row>
    <row r="4" spans="1:14" x14ac:dyDescent="0.3">
      <c r="A4" s="9" t="s">
        <v>176</v>
      </c>
      <c r="B4" s="1">
        <f>AVERAGE('Master Dataset'!G2:G43)</f>
        <v>74.695238095238111</v>
      </c>
      <c r="C4" s="1">
        <f>MEDIAN('Master Dataset'!G2:G43)</f>
        <v>69.5</v>
      </c>
      <c r="D4" s="1">
        <f>_xlfn.STDEV.S('Master Dataset'!G2:G43)</f>
        <v>19.971369170071661</v>
      </c>
      <c r="E4" s="1">
        <f>MIN('Master Dataset'!G2:G43)</f>
        <v>44.1</v>
      </c>
      <c r="F4" s="1">
        <f>MAX('Master Dataset'!G2:G43)</f>
        <v>116.5</v>
      </c>
      <c r="G4" s="1">
        <f>COUNT('Master Dataset'!G2:G43)</f>
        <v>42</v>
      </c>
      <c r="H4" s="1"/>
      <c r="J4">
        <f>'Master Dataset'!B4</f>
        <v>-196068</v>
      </c>
      <c r="K4">
        <f>'Master Dataset'!D4</f>
        <v>3343.8</v>
      </c>
      <c r="L4">
        <f>'Master Dataset'!E4</f>
        <v>4.2656688493919601</v>
      </c>
      <c r="M4">
        <f>'Master Dataset'!F4</f>
        <v>2789.5</v>
      </c>
      <c r="N4">
        <f>'Master Dataset'!G4</f>
        <v>116.5</v>
      </c>
    </row>
    <row r="5" spans="1:14" x14ac:dyDescent="0.3">
      <c r="A5" s="9" t="s">
        <v>177</v>
      </c>
      <c r="B5" s="1">
        <f>AVERAGE('Master Dataset'!F2:F43)</f>
        <v>9402.6523809523824</v>
      </c>
      <c r="C5" s="1">
        <f>MEDIAN('Master Dataset'!F2:F43)</f>
        <v>8807.2000000000007</v>
      </c>
      <c r="D5" s="1">
        <f>_xlfn.STDEV.S('Master Dataset'!F2:F43)</f>
        <v>5242.684759494241</v>
      </c>
      <c r="E5" s="1">
        <f>MIN('Master Dataset'!F2:F43)</f>
        <v>2324.5</v>
      </c>
      <c r="F5" s="1">
        <f>MAX('Master Dataset'!F2:F43)</f>
        <v>21498.9</v>
      </c>
      <c r="G5" s="1">
        <f>COUNT('Master Dataset'!F2:F43)</f>
        <v>42</v>
      </c>
      <c r="H5" s="1"/>
      <c r="J5">
        <f>'Master Dataset'!B5</f>
        <v>-339541</v>
      </c>
      <c r="K5">
        <f>'Master Dataset'!D5</f>
        <v>3634</v>
      </c>
      <c r="L5">
        <f>'Master Dataset'!E5</f>
        <v>8.6787487289909624</v>
      </c>
      <c r="M5">
        <f>'Master Dataset'!F5</f>
        <v>2981.7</v>
      </c>
      <c r="N5">
        <f>'Master Dataset'!G5</f>
        <v>115.2</v>
      </c>
    </row>
    <row r="6" spans="1:14" x14ac:dyDescent="0.3">
      <c r="A6" s="9"/>
      <c r="B6" s="1"/>
      <c r="C6" s="1"/>
      <c r="D6" s="1"/>
      <c r="E6" s="1"/>
      <c r="F6" s="1"/>
      <c r="G6" s="1"/>
      <c r="H6" s="1"/>
      <c r="J6">
        <f>'Master Dataset'!B6</f>
        <v>-316325</v>
      </c>
      <c r="K6">
        <f>'Master Dataset'!D6</f>
        <v>4037.6</v>
      </c>
      <c r="L6">
        <f>'Master Dataset'!E6</f>
        <v>11.106219042377543</v>
      </c>
      <c r="M6">
        <f>'Master Dataset'!F6</f>
        <v>3288.7</v>
      </c>
      <c r="N6">
        <f>'Master Dataset'!G6</f>
        <v>90.1</v>
      </c>
    </row>
    <row r="7" spans="1:14" x14ac:dyDescent="0.3">
      <c r="A7" s="1"/>
      <c r="B7" s="1"/>
      <c r="C7" s="1"/>
      <c r="D7" s="1"/>
      <c r="E7" s="1"/>
      <c r="F7" s="1"/>
      <c r="J7">
        <f>'Master Dataset'!B7</f>
        <v>-428548</v>
      </c>
      <c r="K7">
        <f>'Master Dataset'!D7</f>
        <v>4339</v>
      </c>
      <c r="L7">
        <f>'Master Dataset'!E7</f>
        <v>7.4648305924311504</v>
      </c>
      <c r="M7">
        <f>'Master Dataset'!F7</f>
        <v>3522.9</v>
      </c>
      <c r="N7">
        <f>'Master Dataset'!G7</f>
        <v>86.3</v>
      </c>
    </row>
    <row r="8" spans="1:14" x14ac:dyDescent="0.3">
      <c r="A8" s="9"/>
      <c r="J8">
        <f>'Master Dataset'!B8</f>
        <v>-948739</v>
      </c>
      <c r="K8">
        <f>'Master Dataset'!D8</f>
        <v>4579.6000000000004</v>
      </c>
      <c r="L8">
        <f>'Master Dataset'!E8</f>
        <v>5.5450564646231939</v>
      </c>
      <c r="M8">
        <f>'Master Dataset'!F8</f>
        <v>3731.2</v>
      </c>
      <c r="N8">
        <f>'Master Dataset'!G8</f>
        <v>84</v>
      </c>
    </row>
    <row r="9" spans="1:14" ht="15" thickBot="1" x14ac:dyDescent="0.35">
      <c r="A9" s="1"/>
      <c r="B9" s="1"/>
      <c r="J9">
        <f>'Master Dataset'!B9</f>
        <v>-451122</v>
      </c>
      <c r="K9">
        <f>'Master Dataset'!D9</f>
        <v>4855.2</v>
      </c>
      <c r="L9">
        <f>'Master Dataset'!E9</f>
        <v>6.0179928378024155</v>
      </c>
      <c r="M9">
        <f>'Master Dataset'!F9</f>
        <v>3946.8</v>
      </c>
      <c r="N9">
        <f>'Master Dataset'!G9</f>
        <v>74.099999999999994</v>
      </c>
    </row>
    <row r="10" spans="1:14" x14ac:dyDescent="0.3">
      <c r="A10" s="13"/>
      <c r="B10" s="13">
        <v>-5813</v>
      </c>
      <c r="C10" s="13">
        <v>-2325.1999999999998</v>
      </c>
      <c r="D10" s="13">
        <v>2857.3</v>
      </c>
      <c r="E10" s="13"/>
      <c r="F10" s="13">
        <v>2324.5</v>
      </c>
      <c r="G10" s="13">
        <v>86.1</v>
      </c>
      <c r="J10">
        <f>'Master Dataset'!B10</f>
        <v>-219790</v>
      </c>
      <c r="K10">
        <f>'Master Dataset'!D10</f>
        <v>5236.3999999999996</v>
      </c>
      <c r="L10">
        <f>'Master Dataset'!E10</f>
        <v>7.8513758444554256</v>
      </c>
      <c r="M10">
        <f>'Master Dataset'!F10</f>
        <v>4280</v>
      </c>
      <c r="N10">
        <f>'Master Dataset'!G10</f>
        <v>65.900000000000006</v>
      </c>
    </row>
    <row r="11" spans="1:14" x14ac:dyDescent="0.3">
      <c r="A11">
        <v>-5813</v>
      </c>
      <c r="B11">
        <v>1</v>
      </c>
      <c r="J11">
        <f>'Master Dataset'!B11</f>
        <v>331925</v>
      </c>
      <c r="K11">
        <f>'Master Dataset'!D11</f>
        <v>5641.6</v>
      </c>
      <c r="L11">
        <f>'Master Dataset'!E11</f>
        <v>7.7381407073562132</v>
      </c>
      <c r="M11">
        <f>'Master Dataset'!F11</f>
        <v>4621</v>
      </c>
      <c r="N11">
        <f>'Master Dataset'!G11</f>
        <v>63.1</v>
      </c>
    </row>
    <row r="12" spans="1:14" x14ac:dyDescent="0.3">
      <c r="A12">
        <v>-2325.1999999999998</v>
      </c>
      <c r="B12">
        <v>1</v>
      </c>
      <c r="C12">
        <v>1</v>
      </c>
      <c r="J12">
        <f>'Master Dataset'!B12</f>
        <v>605366</v>
      </c>
      <c r="K12">
        <f>'Master Dataset'!D12</f>
        <v>5963.1</v>
      </c>
      <c r="L12">
        <f>'Master Dataset'!E12</f>
        <v>5.698737946681792</v>
      </c>
      <c r="M12">
        <f>'Master Dataset'!F12</f>
        <v>4913.3</v>
      </c>
      <c r="N12">
        <f>'Master Dataset'!G12</f>
        <v>67.400000000000006</v>
      </c>
    </row>
    <row r="13" spans="1:14" x14ac:dyDescent="0.3">
      <c r="A13">
        <v>2857.3</v>
      </c>
      <c r="B13">
        <v>0.58413019102793229</v>
      </c>
      <c r="C13">
        <v>0.58413019102793229</v>
      </c>
      <c r="D13">
        <v>1</v>
      </c>
      <c r="J13">
        <f>'Master Dataset'!B13</f>
        <v>845690</v>
      </c>
      <c r="K13">
        <f>'Master Dataset'!D13</f>
        <v>6158.1</v>
      </c>
      <c r="L13">
        <f>'Master Dataset'!E13</f>
        <v>3.2701111837802483</v>
      </c>
      <c r="M13">
        <f>'Master Dataset'!F13</f>
        <v>5089.8999999999996</v>
      </c>
      <c r="N13">
        <f>'Master Dataset'!G13</f>
        <v>82.2</v>
      </c>
    </row>
    <row r="14" spans="1:14" x14ac:dyDescent="0.3">
      <c r="B14">
        <v>-0.2935208981914148</v>
      </c>
      <c r="C14">
        <v>-0.29352089819141469</v>
      </c>
      <c r="D14">
        <v>-0.42512003211354327</v>
      </c>
      <c r="E14">
        <v>1</v>
      </c>
      <c r="J14">
        <f>'Master Dataset'!B14</f>
        <v>-60507</v>
      </c>
      <c r="K14">
        <f>'Master Dataset'!D14</f>
        <v>6520.3</v>
      </c>
      <c r="L14">
        <f>'Master Dataset'!E14</f>
        <v>5.8816842857374807</v>
      </c>
      <c r="M14">
        <f>'Master Dataset'!F14</f>
        <v>5417.5</v>
      </c>
      <c r="N14">
        <f>'Master Dataset'!G14</f>
        <v>89.9</v>
      </c>
    </row>
    <row r="15" spans="1:14" x14ac:dyDescent="0.3">
      <c r="A15">
        <v>2324.5</v>
      </c>
      <c r="B15">
        <v>0.58328600289603649</v>
      </c>
      <c r="C15">
        <v>0.58328600289603638</v>
      </c>
      <c r="D15">
        <v>0.99803780080104554</v>
      </c>
      <c r="E15">
        <v>-0.41624808668609414</v>
      </c>
      <c r="F15">
        <v>1</v>
      </c>
      <c r="J15">
        <f>'Master Dataset'!B15</f>
        <v>-267855</v>
      </c>
      <c r="K15">
        <f>'Master Dataset'!D15</f>
        <v>6858.6</v>
      </c>
      <c r="L15">
        <f>'Master Dataset'!E15</f>
        <v>5.1884115761544738</v>
      </c>
      <c r="M15">
        <f>'Master Dataset'!F15</f>
        <v>5652.9</v>
      </c>
      <c r="N15">
        <f>'Master Dataset'!G15</f>
        <v>82.9</v>
      </c>
    </row>
    <row r="16" spans="1:14" ht="15" thickBot="1" x14ac:dyDescent="0.35">
      <c r="A16" s="12">
        <v>86.1</v>
      </c>
      <c r="B16" s="12">
        <v>9.7272345212551597E-2</v>
      </c>
      <c r="C16" s="12">
        <v>9.7272345212551667E-2</v>
      </c>
      <c r="D16" s="12">
        <v>-0.25610820958464819</v>
      </c>
      <c r="E16" s="12">
        <v>-0.13208492308812447</v>
      </c>
      <c r="F16" s="12">
        <v>-0.23966699734738128</v>
      </c>
      <c r="G16" s="12">
        <v>1</v>
      </c>
      <c r="J16">
        <f>'Master Dataset'!B16</f>
        <v>-159108</v>
      </c>
      <c r="K16">
        <f>'Master Dataset'!D16</f>
        <v>7287.2</v>
      </c>
      <c r="L16">
        <f>'Master Dataset'!E16</f>
        <v>6.249088735310405</v>
      </c>
      <c r="M16">
        <f>'Master Dataset'!F16</f>
        <v>5940.9</v>
      </c>
      <c r="N16">
        <f>'Master Dataset'!G16</f>
        <v>73.2</v>
      </c>
    </row>
    <row r="17" spans="1:14" x14ac:dyDescent="0.3">
      <c r="J17">
        <f>'Master Dataset'!B17</f>
        <v>-545538</v>
      </c>
      <c r="K17">
        <f>'Master Dataset'!D17</f>
        <v>7639.7</v>
      </c>
      <c r="L17">
        <f>'Master Dataset'!E17</f>
        <v>4.8372488747392683</v>
      </c>
      <c r="M17">
        <f>'Master Dataset'!F17</f>
        <v>6283.4</v>
      </c>
      <c r="N17">
        <f>'Master Dataset'!G17</f>
        <v>67.099999999999994</v>
      </c>
    </row>
    <row r="18" spans="1:14" x14ac:dyDescent="0.3">
      <c r="J18">
        <f>'Master Dataset'!B18</f>
        <v>-652127</v>
      </c>
      <c r="K18">
        <f>'Master Dataset'!D18</f>
        <v>8073.1</v>
      </c>
      <c r="L18">
        <f>'Master Dataset'!E18</f>
        <v>5.6729976307970285</v>
      </c>
      <c r="M18">
        <f>'Master Dataset'!F18</f>
        <v>6666.2</v>
      </c>
      <c r="N18">
        <f>'Master Dataset'!G18</f>
        <v>64.900000000000006</v>
      </c>
    </row>
    <row r="19" spans="1:14" x14ac:dyDescent="0.3">
      <c r="J19">
        <f>'Master Dataset'!B19</f>
        <v>-687616</v>
      </c>
      <c r="K19">
        <f>'Master Dataset'!D19</f>
        <v>8577.6</v>
      </c>
      <c r="L19">
        <f>'Master Dataset'!E19</f>
        <v>6.2491484064361895</v>
      </c>
      <c r="M19">
        <f>'Master Dataset'!F19</f>
        <v>7074</v>
      </c>
      <c r="N19">
        <f>'Master Dataset'!G19</f>
        <v>59.3</v>
      </c>
    </row>
    <row r="20" spans="1:14" ht="15" thickBot="1" x14ac:dyDescent="0.35">
      <c r="A20" s="10" t="s">
        <v>280</v>
      </c>
      <c r="J20">
        <f>'Master Dataset'!B20</f>
        <v>-1015022</v>
      </c>
      <c r="K20">
        <f>'Master Dataset'!D20</f>
        <v>9062.7999999999993</v>
      </c>
      <c r="L20">
        <f>'Master Dataset'!E20</f>
        <v>5.6565939190449415</v>
      </c>
      <c r="M20">
        <f>'Master Dataset'!F20</f>
        <v>7588.4</v>
      </c>
      <c r="N20">
        <f>'Master Dataset'!G20</f>
        <v>54</v>
      </c>
    </row>
    <row r="21" spans="1:14" ht="43.2" x14ac:dyDescent="0.3">
      <c r="A21" s="13"/>
      <c r="B21" s="24" t="s">
        <v>166</v>
      </c>
      <c r="C21" s="24" t="s">
        <v>170</v>
      </c>
      <c r="D21" s="24" t="s">
        <v>171</v>
      </c>
      <c r="E21" s="24" t="s">
        <v>172</v>
      </c>
      <c r="F21" s="24" t="s">
        <v>173</v>
      </c>
      <c r="J21">
        <f>'Master Dataset'!B21</f>
        <v>-1027905</v>
      </c>
      <c r="K21">
        <f>'Master Dataset'!D21</f>
        <v>9631.2000000000007</v>
      </c>
      <c r="L21">
        <f>'Master Dataset'!E21</f>
        <v>6.2717923820453008</v>
      </c>
      <c r="M21">
        <f>'Master Dataset'!F21</f>
        <v>7978.6</v>
      </c>
      <c r="N21">
        <f>'Master Dataset'!G21</f>
        <v>50.6</v>
      </c>
    </row>
    <row r="22" spans="1:14" x14ac:dyDescent="0.3">
      <c r="A22" t="s">
        <v>166</v>
      </c>
      <c r="B22">
        <v>1</v>
      </c>
      <c r="J22">
        <f>'Master Dataset'!B22</f>
        <v>-951176</v>
      </c>
      <c r="K22">
        <f>'Master Dataset'!D22</f>
        <v>10251</v>
      </c>
      <c r="L22">
        <f>'Master Dataset'!E22</f>
        <v>6.435335160727627</v>
      </c>
      <c r="M22">
        <f>'Master Dataset'!F22</f>
        <v>8621.2999999999993</v>
      </c>
      <c r="N22">
        <f>'Master Dataset'!G22</f>
        <v>47.6</v>
      </c>
    </row>
    <row r="23" spans="1:14" x14ac:dyDescent="0.3">
      <c r="A23" t="s">
        <v>170</v>
      </c>
      <c r="B23">
        <v>0.56765380100292195</v>
      </c>
      <c r="C23">
        <v>1</v>
      </c>
      <c r="J23">
        <f>'Master Dataset'!B23</f>
        <v>-410575</v>
      </c>
      <c r="K23">
        <f>'Master Dataset'!D23</f>
        <v>10581.9</v>
      </c>
      <c r="L23">
        <f>'Master Dataset'!E23</f>
        <v>3.2279777582674827</v>
      </c>
      <c r="M23">
        <f>'Master Dataset'!F23</f>
        <v>8993.1</v>
      </c>
      <c r="N23">
        <f>'Master Dataset'!G23</f>
        <v>56.9</v>
      </c>
    </row>
    <row r="24" spans="1:14" x14ac:dyDescent="0.3">
      <c r="A24" t="s">
        <v>171</v>
      </c>
      <c r="B24">
        <v>-0.2935208981914148</v>
      </c>
      <c r="C24">
        <v>-0.42512003211354327</v>
      </c>
      <c r="D24">
        <v>1</v>
      </c>
      <c r="J24">
        <f>'Master Dataset'!B24</f>
        <v>-91143</v>
      </c>
      <c r="K24">
        <f>'Master Dataset'!D24</f>
        <v>10929.1</v>
      </c>
      <c r="L24">
        <f>'Master Dataset'!E24</f>
        <v>3.2810742872263083</v>
      </c>
      <c r="M24">
        <f>'Master Dataset'!F24</f>
        <v>9150</v>
      </c>
      <c r="N24">
        <f>'Master Dataset'!G24</f>
        <v>69.400000000000006</v>
      </c>
    </row>
    <row r="25" spans="1:14" x14ac:dyDescent="0.3">
      <c r="A25" t="s">
        <v>172</v>
      </c>
      <c r="B25">
        <v>0.56773191537404266</v>
      </c>
      <c r="C25">
        <v>0.99810791817834954</v>
      </c>
      <c r="D25">
        <v>-0.41624808668609414</v>
      </c>
      <c r="E25">
        <v>1</v>
      </c>
      <c r="J25">
        <f>'Master Dataset'!B25</f>
        <v>-424564</v>
      </c>
      <c r="K25">
        <f>'Master Dataset'!D25</f>
        <v>11456.5</v>
      </c>
      <c r="L25">
        <f>'Master Dataset'!E25</f>
        <v>4.8256489555407089</v>
      </c>
      <c r="M25">
        <f>'Master Dataset'!F25</f>
        <v>9481.7999999999993</v>
      </c>
      <c r="N25">
        <f>'Master Dataset'!G25</f>
        <v>71.900000000000006</v>
      </c>
    </row>
    <row r="26" spans="1:14" ht="15" thickBot="1" x14ac:dyDescent="0.35">
      <c r="A26" s="12" t="s">
        <v>173</v>
      </c>
      <c r="B26" s="12">
        <v>9.775459687302461E-2</v>
      </c>
      <c r="C26" s="12">
        <v>-0.26866807407058646</v>
      </c>
      <c r="D26" s="12">
        <v>-0.13208492308812447</v>
      </c>
      <c r="E26" s="12">
        <v>-0.25245318848853643</v>
      </c>
      <c r="F26" s="12">
        <v>1</v>
      </c>
      <c r="J26">
        <f>'Master Dataset'!B26</f>
        <v>-396518</v>
      </c>
      <c r="K26">
        <f>'Master Dataset'!D26</f>
        <v>12217.2</v>
      </c>
      <c r="L26">
        <f>'Master Dataset'!E26</f>
        <v>6.6398987474359599</v>
      </c>
      <c r="M26">
        <f>'Master Dataset'!F26</f>
        <v>10015.9</v>
      </c>
      <c r="N26">
        <f>'Master Dataset'!G26</f>
        <v>66.5</v>
      </c>
    </row>
    <row r="27" spans="1:14" x14ac:dyDescent="0.3">
      <c r="J27">
        <f>'Master Dataset'!B27</f>
        <v>-167356</v>
      </c>
      <c r="K27">
        <f>'Master Dataset'!D27</f>
        <v>13039.2</v>
      </c>
      <c r="L27">
        <f>'Master Dataset'!E27</f>
        <v>6.7282192319025631</v>
      </c>
      <c r="M27">
        <f>'Master Dataset'!F27</f>
        <v>10546.1</v>
      </c>
      <c r="N27">
        <f>'Master Dataset'!G27</f>
        <v>61</v>
      </c>
    </row>
    <row r="28" spans="1:14" x14ac:dyDescent="0.3">
      <c r="J28">
        <f>'Master Dataset'!B28</f>
        <v>-17132</v>
      </c>
      <c r="K28">
        <f>'Master Dataset'!D28</f>
        <v>13815.6</v>
      </c>
      <c r="L28">
        <f>'Master Dataset'!E28</f>
        <v>5.9543530277931129</v>
      </c>
      <c r="M28">
        <f>'Master Dataset'!F28</f>
        <v>11302</v>
      </c>
      <c r="N28">
        <f>'Master Dataset'!G28</f>
        <v>55.3</v>
      </c>
    </row>
    <row r="29" spans="1:14" x14ac:dyDescent="0.3">
      <c r="J29">
        <f>'Master Dataset'!B29</f>
        <v>-110139</v>
      </c>
      <c r="K29">
        <f>'Master Dataset'!D29</f>
        <v>14474.2</v>
      </c>
      <c r="L29">
        <f>'Master Dataset'!E29</f>
        <v>4.7670749008367377</v>
      </c>
      <c r="M29">
        <f>'Master Dataset'!F29</f>
        <v>11932.1</v>
      </c>
      <c r="N29">
        <f>'Master Dataset'!G29</f>
        <v>55.4</v>
      </c>
    </row>
    <row r="30" spans="1:14" x14ac:dyDescent="0.3">
      <c r="J30">
        <f>'Master Dataset'!B30</f>
        <v>-3825</v>
      </c>
      <c r="K30">
        <f>'Master Dataset'!D30</f>
        <v>14769.9</v>
      </c>
      <c r="L30">
        <f>'Master Dataset'!E30</f>
        <v>2.0429453786737706</v>
      </c>
      <c r="M30">
        <f>'Master Dataset'!F30</f>
        <v>12425.7</v>
      </c>
      <c r="N30">
        <f>'Master Dataset'!G30</f>
        <v>69.599999999999994</v>
      </c>
    </row>
    <row r="31" spans="1:14" x14ac:dyDescent="0.3">
      <c r="J31">
        <f>'Master Dataset'!B31</f>
        <v>243114</v>
      </c>
      <c r="K31">
        <f>'Master Dataset'!D31</f>
        <v>14478.1</v>
      </c>
      <c r="L31">
        <f>'Master Dataset'!E31</f>
        <v>-1.9756396454952252</v>
      </c>
      <c r="M31">
        <f>'Master Dataset'!F31</f>
        <v>12065.7</v>
      </c>
      <c r="N31">
        <f>'Master Dataset'!G31</f>
        <v>111.4</v>
      </c>
    </row>
    <row r="32" spans="1:14" x14ac:dyDescent="0.3">
      <c r="J32">
        <f>'Master Dataset'!B32</f>
        <v>261671</v>
      </c>
      <c r="K32">
        <f>'Master Dataset'!D32</f>
        <v>15049</v>
      </c>
      <c r="L32">
        <f>'Master Dataset'!E32</f>
        <v>3.9431969664527777</v>
      </c>
      <c r="M32">
        <f>'Master Dataset'!F32</f>
        <v>12556.6</v>
      </c>
      <c r="N32">
        <f>'Master Dataset'!G32</f>
        <v>115.3</v>
      </c>
    </row>
    <row r="33" spans="10:14" x14ac:dyDescent="0.3">
      <c r="J33">
        <f>'Master Dataset'!B33</f>
        <v>405965</v>
      </c>
      <c r="K33">
        <f>'Master Dataset'!D33</f>
        <v>15599.7</v>
      </c>
      <c r="L33">
        <f>'Master Dataset'!E33</f>
        <v>3.6593793607548726</v>
      </c>
      <c r="M33">
        <f>'Master Dataset'!F33</f>
        <v>13309.6</v>
      </c>
      <c r="N33">
        <f>'Master Dataset'!G33</f>
        <v>107.2</v>
      </c>
    </row>
    <row r="34" spans="10:14" x14ac:dyDescent="0.3">
      <c r="J34">
        <f>'Master Dataset'!B34</f>
        <v>443126</v>
      </c>
      <c r="K34">
        <f>'Master Dataset'!D34</f>
        <v>16254</v>
      </c>
      <c r="L34">
        <f>'Master Dataset'!E34</f>
        <v>4.1943114290659391</v>
      </c>
      <c r="M34">
        <f>'Master Dataset'!F34</f>
        <v>13917.8</v>
      </c>
      <c r="N34">
        <f>'Master Dataset'!G34</f>
        <v>96.9</v>
      </c>
    </row>
    <row r="35" spans="10:14" x14ac:dyDescent="0.3">
      <c r="J35">
        <f>'Master Dataset'!B35</f>
        <v>449288</v>
      </c>
      <c r="K35">
        <f>'Master Dataset'!D35</f>
        <v>16880.7</v>
      </c>
      <c r="L35">
        <f>'Master Dataset'!E35</f>
        <v>3.855666297526767</v>
      </c>
      <c r="M35">
        <f>'Master Dataset'!F35</f>
        <v>14068.8</v>
      </c>
      <c r="N35">
        <f>'Master Dataset'!G35</f>
        <v>88.3</v>
      </c>
    </row>
    <row r="36" spans="10:14" x14ac:dyDescent="0.3">
      <c r="J36">
        <f>'Master Dataset'!B36</f>
        <v>517631</v>
      </c>
      <c r="K36">
        <f>'Master Dataset'!D36</f>
        <v>17608.099999999999</v>
      </c>
      <c r="L36">
        <f>'Master Dataset'!E36</f>
        <v>4.3090630127897409</v>
      </c>
      <c r="M36">
        <f>'Master Dataset'!F36</f>
        <v>14784.1</v>
      </c>
      <c r="N36">
        <f>'Master Dataset'!G36</f>
        <v>73.900000000000006</v>
      </c>
    </row>
    <row r="37" spans="10:14" x14ac:dyDescent="0.3">
      <c r="J37">
        <f>'Master Dataset'!B37</f>
        <v>667012</v>
      </c>
      <c r="K37">
        <f>'Master Dataset'!D37</f>
        <v>18295</v>
      </c>
      <c r="L37">
        <f>'Master Dataset'!E37</f>
        <v>3.9010455415405496</v>
      </c>
      <c r="M37">
        <f>'Master Dataset'!F37</f>
        <v>15473.7</v>
      </c>
      <c r="N37">
        <f>'Master Dataset'!G37</f>
        <v>63.3</v>
      </c>
    </row>
    <row r="38" spans="10:14" x14ac:dyDescent="0.3">
      <c r="J38">
        <f>'Master Dataset'!B38</f>
        <v>829752</v>
      </c>
      <c r="K38">
        <f>'Master Dataset'!D38</f>
        <v>18804.900000000001</v>
      </c>
      <c r="L38">
        <f>'Master Dataset'!E38</f>
        <v>2.787100300628595</v>
      </c>
      <c r="M38">
        <f>'Master Dataset'!F38</f>
        <v>15887.7</v>
      </c>
      <c r="N38">
        <f>'Master Dataset'!G38</f>
        <v>58.5</v>
      </c>
    </row>
    <row r="39" spans="10:14" x14ac:dyDescent="0.3">
      <c r="J39">
        <f>'Master Dataset'!B39</f>
        <v>796106</v>
      </c>
      <c r="K39">
        <f>'Master Dataset'!D39</f>
        <v>19612.099999999999</v>
      </c>
      <c r="L39">
        <f>'Master Dataset'!E39</f>
        <v>4.2924982318438127</v>
      </c>
      <c r="M39">
        <f>'Master Dataset'!F39</f>
        <v>16662.8</v>
      </c>
      <c r="N39">
        <f>'Master Dataset'!G39</f>
        <v>52.3</v>
      </c>
    </row>
    <row r="40" spans="10:14" x14ac:dyDescent="0.3">
      <c r="J40">
        <f>'Master Dataset'!B40</f>
        <v>631502</v>
      </c>
      <c r="K40">
        <f>'Master Dataset'!D40</f>
        <v>20656.5</v>
      </c>
      <c r="L40">
        <f>'Master Dataset'!E40</f>
        <v>5.3252838808694714</v>
      </c>
      <c r="M40">
        <f>'Master Dataset'!F40</f>
        <v>17528.2</v>
      </c>
      <c r="N40">
        <f>'Master Dataset'!G40</f>
        <v>46.7</v>
      </c>
    </row>
    <row r="41" spans="10:14" x14ac:dyDescent="0.3">
      <c r="J41">
        <f>'Master Dataset'!B41</f>
        <v>543373</v>
      </c>
      <c r="K41">
        <f>'Master Dataset'!D41</f>
        <v>21540</v>
      </c>
      <c r="L41">
        <f>'Master Dataset'!E41</f>
        <v>4.2771040592549561</v>
      </c>
      <c r="M41">
        <f>'Master Dataset'!F41</f>
        <v>18363.2</v>
      </c>
      <c r="N41">
        <f>'Master Dataset'!G41</f>
        <v>44.1</v>
      </c>
    </row>
    <row r="42" spans="10:14" x14ac:dyDescent="0.3">
      <c r="J42">
        <f>'Master Dataset'!B42</f>
        <v>313888</v>
      </c>
      <c r="K42">
        <f>'Master Dataset'!D42</f>
        <v>21375.3</v>
      </c>
      <c r="L42">
        <f>'Master Dataset'!E42</f>
        <v>-0.76462395543175821</v>
      </c>
      <c r="M42">
        <f>'Master Dataset'!F42</f>
        <v>19631.7</v>
      </c>
      <c r="N42">
        <f>'Master Dataset'!G42</f>
        <v>97.2</v>
      </c>
    </row>
    <row r="43" spans="10:14" x14ac:dyDescent="0.3">
      <c r="J43">
        <f>'Master Dataset'!B43</f>
        <v>484038</v>
      </c>
      <c r="K43">
        <f>'Master Dataset'!D43</f>
        <v>23725.599999999999</v>
      </c>
      <c r="L43">
        <f>'Master Dataset'!E43</f>
        <v>10.995401234134723</v>
      </c>
      <c r="M43">
        <f>'Master Dataset'!F43</f>
        <v>21498.9</v>
      </c>
      <c r="N43">
        <f>'Master Dataset'!G43</f>
        <v>64.3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839A-4D13-4534-9CD0-913DA892E09D}">
  <dimension ref="A1:I68"/>
  <sheetViews>
    <sheetView topLeftCell="B1" zoomScale="80" zoomScaleNormal="80" workbookViewId="0">
      <selection activeCell="U16" sqref="U16"/>
    </sheetView>
  </sheetViews>
  <sheetFormatPr defaultRowHeight="14.4" x14ac:dyDescent="0.3"/>
  <cols>
    <col min="1" max="1" width="37.6640625" customWidth="1"/>
    <col min="2" max="2" width="25.5546875" customWidth="1"/>
  </cols>
  <sheetData>
    <row r="1" spans="1:9" x14ac:dyDescent="0.3">
      <c r="A1" t="s">
        <v>186</v>
      </c>
      <c r="B1" s="10" t="s">
        <v>238</v>
      </c>
    </row>
    <row r="2" spans="1:9" ht="15" thickBot="1" x14ac:dyDescent="0.35"/>
    <row r="3" spans="1:9" x14ac:dyDescent="0.3">
      <c r="A3" s="14" t="s">
        <v>187</v>
      </c>
      <c r="B3" s="14"/>
    </row>
    <row r="4" spans="1:9" x14ac:dyDescent="0.3">
      <c r="A4" t="s">
        <v>188</v>
      </c>
      <c r="B4">
        <v>0.31010109887062126</v>
      </c>
    </row>
    <row r="5" spans="1:9" x14ac:dyDescent="0.3">
      <c r="A5" t="s">
        <v>189</v>
      </c>
      <c r="B5">
        <v>9.6162691520766827E-2</v>
      </c>
    </row>
    <row r="6" spans="1:9" x14ac:dyDescent="0.3">
      <c r="A6" t="s">
        <v>190</v>
      </c>
      <c r="B6">
        <v>2.4807114535564202E-2</v>
      </c>
    </row>
    <row r="7" spans="1:9" x14ac:dyDescent="0.3">
      <c r="A7" t="s">
        <v>191</v>
      </c>
      <c r="B7">
        <v>2.7327449312898899</v>
      </c>
    </row>
    <row r="8" spans="1:9" ht="15" thickBot="1" x14ac:dyDescent="0.35">
      <c r="A8" s="12" t="s">
        <v>192</v>
      </c>
      <c r="B8" s="12">
        <v>42</v>
      </c>
    </row>
    <row r="10" spans="1:9" ht="15" thickBot="1" x14ac:dyDescent="0.35">
      <c r="A10" t="s">
        <v>193</v>
      </c>
    </row>
    <row r="11" spans="1:9" x14ac:dyDescent="0.3">
      <c r="A11" s="13"/>
      <c r="B11" s="13" t="s">
        <v>198</v>
      </c>
      <c r="C11" s="13" t="s">
        <v>199</v>
      </c>
      <c r="D11" s="13" t="s">
        <v>200</v>
      </c>
      <c r="E11" s="13" t="s">
        <v>201</v>
      </c>
      <c r="F11" s="13" t="s">
        <v>202</v>
      </c>
    </row>
    <row r="12" spans="1:9" x14ac:dyDescent="0.3">
      <c r="A12" t="s">
        <v>194</v>
      </c>
      <c r="B12">
        <v>3</v>
      </c>
      <c r="C12">
        <v>30.192434846331764</v>
      </c>
      <c r="D12">
        <v>10.064144948777255</v>
      </c>
      <c r="E12">
        <v>1.3476548797399337</v>
      </c>
      <c r="F12">
        <v>0.27340928278274745</v>
      </c>
    </row>
    <row r="13" spans="1:9" x14ac:dyDescent="0.3">
      <c r="A13" t="s">
        <v>195</v>
      </c>
      <c r="B13">
        <v>38</v>
      </c>
      <c r="C13">
        <v>283.78000466064225</v>
      </c>
      <c r="D13">
        <v>7.4678948594905856</v>
      </c>
    </row>
    <row r="14" spans="1:9" ht="15" thickBot="1" x14ac:dyDescent="0.35">
      <c r="A14" s="12" t="s">
        <v>196</v>
      </c>
      <c r="B14" s="12">
        <v>41</v>
      </c>
      <c r="C14" s="12">
        <v>313.97243950697401</v>
      </c>
      <c r="D14" s="12"/>
      <c r="E14" s="12"/>
      <c r="F14" s="12"/>
    </row>
    <row r="15" spans="1:9" ht="15" thickBot="1" x14ac:dyDescent="0.35"/>
    <row r="16" spans="1:9" x14ac:dyDescent="0.3">
      <c r="A16" s="13"/>
      <c r="B16" s="13" t="s">
        <v>203</v>
      </c>
      <c r="C16" s="13" t="s">
        <v>191</v>
      </c>
      <c r="D16" s="13" t="s">
        <v>204</v>
      </c>
      <c r="E16" s="13" t="s">
        <v>205</v>
      </c>
      <c r="F16" s="13" t="s">
        <v>206</v>
      </c>
      <c r="G16" s="13" t="s">
        <v>207</v>
      </c>
      <c r="H16" s="13" t="s">
        <v>208</v>
      </c>
      <c r="I16" s="13" t="s">
        <v>209</v>
      </c>
    </row>
    <row r="17" spans="1:9" x14ac:dyDescent="0.3">
      <c r="A17" t="s">
        <v>197</v>
      </c>
      <c r="B17">
        <v>6.4154938619561115</v>
      </c>
      <c r="C17">
        <v>1.6984086489966097</v>
      </c>
      <c r="D17">
        <v>3.7773558594077308</v>
      </c>
      <c r="E17">
        <v>5.4339677001384308E-4</v>
      </c>
      <c r="F17">
        <v>2.9772453049897609</v>
      </c>
      <c r="G17">
        <v>9.8537424189224616</v>
      </c>
      <c r="H17">
        <v>2.9772453049897609</v>
      </c>
      <c r="I17">
        <v>9.8537424189224616</v>
      </c>
    </row>
    <row r="18" spans="1:9" x14ac:dyDescent="0.3">
      <c r="A18" t="s">
        <v>166</v>
      </c>
      <c r="B18">
        <v>-1.2754859440708102E-6</v>
      </c>
      <c r="C18">
        <v>1.6204675817834653E-6</v>
      </c>
      <c r="D18">
        <v>-0.78710981843094152</v>
      </c>
      <c r="E18">
        <v>0.43609947158276641</v>
      </c>
      <c r="F18">
        <v>-4.5559510594418002E-6</v>
      </c>
      <c r="G18">
        <v>2.0049791713001802E-6</v>
      </c>
      <c r="H18">
        <v>-4.5559510594418002E-6</v>
      </c>
      <c r="I18">
        <v>2.0049791713001802E-6</v>
      </c>
    </row>
    <row r="19" spans="1:9" x14ac:dyDescent="0.3">
      <c r="A19" t="s">
        <v>173</v>
      </c>
      <c r="B19">
        <v>-1.6988417406367286E-2</v>
      </c>
      <c r="C19">
        <v>2.1901711246732458E-2</v>
      </c>
      <c r="D19">
        <v>-0.77566621233314847</v>
      </c>
      <c r="E19">
        <v>0.44274691785356135</v>
      </c>
      <c r="F19">
        <v>-6.1326113833937636E-2</v>
      </c>
      <c r="G19">
        <v>2.7349279021203064E-2</v>
      </c>
      <c r="H19">
        <v>-6.1326113833937636E-2</v>
      </c>
      <c r="I19">
        <v>2.7349279021203064E-2</v>
      </c>
    </row>
    <row r="20" spans="1:9" ht="15" thickBot="1" x14ac:dyDescent="0.35">
      <c r="A20" s="12" t="s">
        <v>184</v>
      </c>
      <c r="B20" s="12">
        <v>-1.7882236951727339E-7</v>
      </c>
      <c r="C20" s="12">
        <v>1.6609667430504192E-6</v>
      </c>
      <c r="D20" s="12">
        <v>-0.10766161951494604</v>
      </c>
      <c r="E20" s="12">
        <v>0.91483055930779322</v>
      </c>
      <c r="F20" s="12">
        <v>-3.5412737506004152E-6</v>
      </c>
      <c r="G20" s="12">
        <v>3.1836290115658686E-6</v>
      </c>
      <c r="H20" s="12">
        <v>-3.5412737506004152E-6</v>
      </c>
      <c r="I20" s="12">
        <v>3.1836290115658686E-6</v>
      </c>
    </row>
    <row r="24" spans="1:9" x14ac:dyDescent="0.3">
      <c r="A24" t="s">
        <v>210</v>
      </c>
    </row>
    <row r="25" spans="1:9" ht="15" thickBot="1" x14ac:dyDescent="0.35"/>
    <row r="26" spans="1:9" x14ac:dyDescent="0.3">
      <c r="A26" s="13" t="s">
        <v>211</v>
      </c>
      <c r="B26" s="13" t="s">
        <v>212</v>
      </c>
      <c r="C26" s="13" t="s">
        <v>213</v>
      </c>
    </row>
    <row r="27" spans="1:9" x14ac:dyDescent="0.3">
      <c r="A27">
        <v>1</v>
      </c>
      <c r="B27">
        <v>4.9602055230607718</v>
      </c>
      <c r="C27">
        <v>-4.9602055230607718</v>
      </c>
    </row>
    <row r="28" spans="1:9" x14ac:dyDescent="0.3">
      <c r="A28">
        <v>2</v>
      </c>
      <c r="B28">
        <v>4.9747439767509771</v>
      </c>
      <c r="C28">
        <v>7.2640828877714672</v>
      </c>
    </row>
    <row r="29" spans="1:9" x14ac:dyDescent="0.3">
      <c r="A29">
        <v>3</v>
      </c>
      <c r="B29">
        <v>4.7019806124759667</v>
      </c>
      <c r="C29">
        <v>-0.43631176308400654</v>
      </c>
    </row>
    <row r="30" spans="1:9" x14ac:dyDescent="0.3">
      <c r="A30">
        <v>4</v>
      </c>
      <c r="B30">
        <v>4.9265692940248602</v>
      </c>
      <c r="C30">
        <v>3.7521794349661022</v>
      </c>
    </row>
    <row r="31" spans="1:9" x14ac:dyDescent="0.3">
      <c r="A31">
        <v>5</v>
      </c>
      <c r="B31">
        <v>5.3490230710688831</v>
      </c>
      <c r="C31">
        <v>5.7571959713086596</v>
      </c>
    </row>
    <row r="32" spans="1:9" x14ac:dyDescent="0.3">
      <c r="A32">
        <v>6</v>
      </c>
      <c r="B32">
        <v>5.5525663761838233</v>
      </c>
      <c r="C32">
        <v>1.9122642162473271</v>
      </c>
    </row>
    <row r="33" spans="1:3" x14ac:dyDescent="0.3">
      <c r="A33">
        <v>7</v>
      </c>
      <c r="B33">
        <v>6.2752040277249446</v>
      </c>
      <c r="C33">
        <v>-0.73014756310175066</v>
      </c>
    </row>
    <row r="34" spans="1:3" x14ac:dyDescent="0.3">
      <c r="A34">
        <v>8</v>
      </c>
      <c r="B34">
        <v>5.9017076582388563</v>
      </c>
      <c r="C34">
        <v>0.1162851795635591</v>
      </c>
    </row>
    <row r="35" spans="1:3" x14ac:dyDescent="0.3">
      <c r="A35">
        <v>9</v>
      </c>
      <c r="B35">
        <v>5.656966915505202</v>
      </c>
      <c r="C35">
        <v>2.1944089289502235</v>
      </c>
    </row>
    <row r="36" spans="1:3" x14ac:dyDescent="0.3">
      <c r="A36">
        <v>10</v>
      </c>
      <c r="B36">
        <v>4.9594624202248339</v>
      </c>
      <c r="C36">
        <v>2.7786782871313793</v>
      </c>
    </row>
    <row r="37" spans="1:3" x14ac:dyDescent="0.3">
      <c r="A37">
        <v>11</v>
      </c>
      <c r="B37">
        <v>4.4389830897465652</v>
      </c>
      <c r="C37">
        <v>1.2597548569352268</v>
      </c>
    </row>
    <row r="38" spans="1:3" x14ac:dyDescent="0.3">
      <c r="A38">
        <v>12</v>
      </c>
      <c r="B38">
        <v>3.8321272605662831</v>
      </c>
      <c r="C38">
        <v>-0.56201607678603471</v>
      </c>
    </row>
    <row r="39" spans="1:3" x14ac:dyDescent="0.3">
      <c r="A39">
        <v>13</v>
      </c>
      <c r="B39">
        <v>4.8141826754645223</v>
      </c>
      <c r="C39">
        <v>1.0675016102729584</v>
      </c>
    </row>
    <row r="40" spans="1:3" x14ac:dyDescent="0.3">
      <c r="A40">
        <v>14</v>
      </c>
      <c r="B40">
        <v>5.359619351629731</v>
      </c>
      <c r="C40">
        <v>-0.17120777547525723</v>
      </c>
    </row>
    <row r="41" spans="1:3" x14ac:dyDescent="0.3">
      <c r="A41">
        <v>15</v>
      </c>
      <c r="B41">
        <v>5.4227801911862938</v>
      </c>
      <c r="C41">
        <v>0.82630854412411114</v>
      </c>
    </row>
    <row r="42" spans="1:3" x14ac:dyDescent="0.3">
      <c r="A42">
        <v>16</v>
      </c>
      <c r="B42">
        <v>5.999849174514523</v>
      </c>
      <c r="C42">
        <v>-1.1626002997752547</v>
      </c>
    </row>
    <row r="43" spans="1:3" x14ac:dyDescent="0.3">
      <c r="A43">
        <v>17</v>
      </c>
      <c r="B43">
        <v>6.2422787923536536</v>
      </c>
      <c r="C43">
        <v>-0.56928116155662511</v>
      </c>
    </row>
    <row r="44" spans="1:3" x14ac:dyDescent="0.3">
      <c r="A44">
        <v>18</v>
      </c>
      <c r="B44">
        <v>6.4017401480429177</v>
      </c>
      <c r="C44">
        <v>-0.15259174160672817</v>
      </c>
    </row>
    <row r="45" spans="1:3" x14ac:dyDescent="0.3">
      <c r="A45">
        <v>19</v>
      </c>
      <c r="B45">
        <v>6.9157267383729097</v>
      </c>
      <c r="C45">
        <v>-1.2591328193279683</v>
      </c>
    </row>
    <row r="46" spans="1:3" x14ac:dyDescent="0.3">
      <c r="A46">
        <v>20</v>
      </c>
      <c r="B46">
        <v>7.0484669596861949</v>
      </c>
      <c r="C46">
        <v>-0.77667457764089409</v>
      </c>
    </row>
    <row r="47" spans="1:3" x14ac:dyDescent="0.3">
      <c r="A47">
        <v>21</v>
      </c>
      <c r="B47">
        <v>7.0038692194891787</v>
      </c>
      <c r="C47">
        <v>-0.56853405876155172</v>
      </c>
    </row>
    <row r="48" spans="1:3" x14ac:dyDescent="0.3">
      <c r="A48">
        <v>22</v>
      </c>
      <c r="B48">
        <v>6.1426270991686476</v>
      </c>
      <c r="C48">
        <v>-2.9146493409011649</v>
      </c>
    </row>
    <row r="49" spans="1:3" x14ac:dyDescent="0.3">
      <c r="A49">
        <v>23</v>
      </c>
      <c r="B49">
        <v>5.4261693037192229</v>
      </c>
      <c r="C49">
        <v>-2.1450950164929146</v>
      </c>
    </row>
    <row r="50" spans="1:3" x14ac:dyDescent="0.3">
      <c r="A50">
        <v>24</v>
      </c>
      <c r="B50">
        <v>5.7518504720216956</v>
      </c>
      <c r="C50">
        <v>-0.9262015164809867</v>
      </c>
    </row>
    <row r="51" spans="1:3" x14ac:dyDescent="0.3">
      <c r="A51">
        <v>25</v>
      </c>
      <c r="B51">
        <v>5.8674387804954877</v>
      </c>
      <c r="C51">
        <v>0.77245996694047214</v>
      </c>
    </row>
    <row r="52" spans="1:3" x14ac:dyDescent="0.3">
      <c r="A52">
        <v>26</v>
      </c>
      <c r="B52">
        <v>5.6635669141398717</v>
      </c>
      <c r="C52">
        <v>1.0646523177626914</v>
      </c>
    </row>
    <row r="53" spans="1:3" x14ac:dyDescent="0.3">
      <c r="A53">
        <v>27</v>
      </c>
      <c r="B53">
        <v>5.5278130010507551</v>
      </c>
      <c r="C53">
        <v>0.4265400267423578</v>
      </c>
    </row>
    <row r="54" spans="1:3" x14ac:dyDescent="0.3">
      <c r="A54">
        <v>28</v>
      </c>
      <c r="B54">
        <v>5.6178798688719489</v>
      </c>
      <c r="C54">
        <v>-0.85080496803521122</v>
      </c>
    </row>
    <row r="55" spans="1:3" x14ac:dyDescent="0.3">
      <c r="A55">
        <v>29</v>
      </c>
      <c r="B55">
        <v>5.2576740611652824</v>
      </c>
      <c r="C55">
        <v>-3.2147286824915118</v>
      </c>
    </row>
    <row r="56" spans="1:3" x14ac:dyDescent="0.3">
      <c r="A56">
        <v>30</v>
      </c>
      <c r="B56">
        <v>4.2135796686433684</v>
      </c>
      <c r="C56">
        <v>-6.1892193141385938</v>
      </c>
    </row>
    <row r="57" spans="1:3" x14ac:dyDescent="0.3">
      <c r="A57">
        <v>31</v>
      </c>
      <c r="B57">
        <v>4.0794974309881882</v>
      </c>
      <c r="C57">
        <v>-0.13630046453541045</v>
      </c>
    </row>
    <row r="58" spans="1:3" x14ac:dyDescent="0.3">
      <c r="A58">
        <v>32</v>
      </c>
      <c r="B58">
        <v>4.0297402364548773</v>
      </c>
      <c r="C58">
        <v>-0.37036087570000475</v>
      </c>
    </row>
    <row r="59" spans="1:3" x14ac:dyDescent="0.3">
      <c r="A59">
        <v>33</v>
      </c>
      <c r="B59">
        <v>4.1315196075857203</v>
      </c>
      <c r="C59">
        <v>6.2791821480218779E-2</v>
      </c>
    </row>
    <row r="60" spans="1:3" x14ac:dyDescent="0.3">
      <c r="A60">
        <v>34</v>
      </c>
      <c r="B60">
        <v>4.2631152348194821</v>
      </c>
      <c r="C60">
        <v>-0.40744893729271503</v>
      </c>
    </row>
    <row r="61" spans="1:3" x14ac:dyDescent="0.3">
      <c r="A61">
        <v>35</v>
      </c>
      <c r="B61">
        <v>4.419476006154575</v>
      </c>
      <c r="C61">
        <v>-0.11041299336483412</v>
      </c>
    </row>
    <row r="62" spans="1:3" x14ac:dyDescent="0.3">
      <c r="A62">
        <v>36</v>
      </c>
      <c r="B62">
        <v>4.3967986076509069</v>
      </c>
      <c r="C62">
        <v>-0.4957530661103573</v>
      </c>
    </row>
    <row r="63" spans="1:3" x14ac:dyDescent="0.3">
      <c r="A63">
        <v>37</v>
      </c>
      <c r="B63">
        <v>4.2440577642825268</v>
      </c>
      <c r="C63">
        <v>-1.4569574636539318</v>
      </c>
    </row>
    <row r="64" spans="1:3" x14ac:dyDescent="0.3">
      <c r="A64">
        <v>38</v>
      </c>
      <c r="B64">
        <v>4.3631993998609691</v>
      </c>
      <c r="C64">
        <v>-7.0701168017156313E-2</v>
      </c>
    </row>
    <row r="65" spans="1:3" x14ac:dyDescent="0.3">
      <c r="A65">
        <v>39</v>
      </c>
      <c r="B65">
        <v>4.6743012831192354</v>
      </c>
      <c r="C65">
        <v>0.65098259775023593</v>
      </c>
    </row>
    <row r="66" spans="1:3" x14ac:dyDescent="0.3">
      <c r="A66">
        <v>40</v>
      </c>
      <c r="B66">
        <v>4.8603133464528288</v>
      </c>
      <c r="C66">
        <v>-0.58320928719787268</v>
      </c>
    </row>
    <row r="67" spans="1:3" x14ac:dyDescent="0.3">
      <c r="A67">
        <v>41</v>
      </c>
      <c r="B67">
        <v>4.266692710653003</v>
      </c>
      <c r="C67">
        <v>-5.031316666084761</v>
      </c>
    </row>
    <row r="68" spans="1:3" ht="15" thickBot="1" x14ac:dyDescent="0.35">
      <c r="A68" s="12">
        <v>42</v>
      </c>
      <c r="B68" s="12">
        <v>4.6496247614075097</v>
      </c>
      <c r="C68" s="12">
        <v>6.3457764727272137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9019-8E60-45C9-9944-7BDE58A29993}">
  <dimension ref="A2:I69"/>
  <sheetViews>
    <sheetView zoomScale="80" zoomScaleNormal="80" workbookViewId="0">
      <selection activeCell="P41" sqref="P41"/>
    </sheetView>
  </sheetViews>
  <sheetFormatPr defaultRowHeight="14.4" x14ac:dyDescent="0.3"/>
  <cols>
    <col min="1" max="1" width="27.77734375" customWidth="1"/>
  </cols>
  <sheetData>
    <row r="2" spans="1:6" x14ac:dyDescent="0.3">
      <c r="A2" t="s">
        <v>186</v>
      </c>
      <c r="B2" s="10" t="s">
        <v>225</v>
      </c>
    </row>
    <row r="3" spans="1:6" ht="15" thickBot="1" x14ac:dyDescent="0.35"/>
    <row r="4" spans="1:6" x14ac:dyDescent="0.3">
      <c r="A4" s="14" t="s">
        <v>187</v>
      </c>
      <c r="B4" s="14"/>
    </row>
    <row r="5" spans="1:6" x14ac:dyDescent="0.3">
      <c r="A5" t="s">
        <v>188</v>
      </c>
      <c r="B5">
        <v>0.25065129543887471</v>
      </c>
    </row>
    <row r="6" spans="1:6" x14ac:dyDescent="0.3">
      <c r="A6" t="s">
        <v>189</v>
      </c>
      <c r="B6">
        <v>6.2826071905186062E-2</v>
      </c>
    </row>
    <row r="7" spans="1:6" x14ac:dyDescent="0.3">
      <c r="A7" t="s">
        <v>190</v>
      </c>
      <c r="B7">
        <v>-1.1161343470720298E-2</v>
      </c>
    </row>
    <row r="8" spans="1:6" x14ac:dyDescent="0.3">
      <c r="A8" t="s">
        <v>191</v>
      </c>
      <c r="B8">
        <v>20.082513555920748</v>
      </c>
    </row>
    <row r="9" spans="1:6" ht="15" thickBot="1" x14ac:dyDescent="0.35">
      <c r="A9" s="12" t="s">
        <v>192</v>
      </c>
      <c r="B9" s="12">
        <v>42</v>
      </c>
    </row>
    <row r="11" spans="1:6" ht="15" thickBot="1" x14ac:dyDescent="0.35">
      <c r="A11" t="s">
        <v>193</v>
      </c>
    </row>
    <row r="12" spans="1:6" x14ac:dyDescent="0.3">
      <c r="A12" s="13"/>
      <c r="B12" s="13" t="s">
        <v>198</v>
      </c>
      <c r="C12" s="13" t="s">
        <v>199</v>
      </c>
      <c r="D12" s="13" t="s">
        <v>200</v>
      </c>
      <c r="E12" s="13" t="s">
        <v>201</v>
      </c>
      <c r="F12" s="13" t="s">
        <v>202</v>
      </c>
    </row>
    <row r="13" spans="1:6" x14ac:dyDescent="0.3">
      <c r="A13" t="s">
        <v>194</v>
      </c>
      <c r="B13">
        <v>3</v>
      </c>
      <c r="C13">
        <v>1027.3997201169059</v>
      </c>
      <c r="D13">
        <v>342.46657337230198</v>
      </c>
      <c r="E13">
        <v>0.84914537946739876</v>
      </c>
      <c r="F13">
        <v>0.47572503935435584</v>
      </c>
    </row>
    <row r="14" spans="1:6" x14ac:dyDescent="0.3">
      <c r="A14" t="s">
        <v>195</v>
      </c>
      <c r="B14">
        <v>38</v>
      </c>
      <c r="C14">
        <v>15325.679327502141</v>
      </c>
      <c r="D14">
        <v>403.30735072374057</v>
      </c>
    </row>
    <row r="15" spans="1:6" ht="15" thickBot="1" x14ac:dyDescent="0.35">
      <c r="A15" s="12" t="s">
        <v>196</v>
      </c>
      <c r="B15" s="12">
        <v>41</v>
      </c>
      <c r="C15" s="12">
        <v>16353.079047619047</v>
      </c>
      <c r="D15" s="12"/>
      <c r="E15" s="12"/>
      <c r="F15" s="12"/>
    </row>
    <row r="16" spans="1:6" ht="15" thickBot="1" x14ac:dyDescent="0.35"/>
    <row r="17" spans="1:9" x14ac:dyDescent="0.3">
      <c r="A17" s="13"/>
      <c r="B17" s="13" t="s">
        <v>203</v>
      </c>
      <c r="C17" s="13" t="s">
        <v>191</v>
      </c>
      <c r="D17" s="13" t="s">
        <v>204</v>
      </c>
      <c r="E17" s="13" t="s">
        <v>205</v>
      </c>
      <c r="F17" s="13" t="s">
        <v>206</v>
      </c>
      <c r="G17" s="13" t="s">
        <v>207</v>
      </c>
      <c r="H17" s="13" t="s">
        <v>208</v>
      </c>
      <c r="I17" s="13" t="s">
        <v>209</v>
      </c>
    </row>
    <row r="18" spans="1:9" x14ac:dyDescent="0.3">
      <c r="A18" t="s">
        <v>197</v>
      </c>
      <c r="B18">
        <v>79.810050095922705</v>
      </c>
      <c r="C18">
        <v>6.8305221040775619</v>
      </c>
      <c r="D18">
        <v>11.68432645116237</v>
      </c>
      <c r="E18">
        <v>3.8036925129811018E-14</v>
      </c>
      <c r="F18">
        <v>65.982381011956377</v>
      </c>
      <c r="G18">
        <v>93.637719179889032</v>
      </c>
      <c r="H18">
        <v>65.982381011956377</v>
      </c>
      <c r="I18">
        <v>93.637719179889032</v>
      </c>
    </row>
    <row r="19" spans="1:9" x14ac:dyDescent="0.3">
      <c r="A19" t="s">
        <v>171</v>
      </c>
      <c r="B19">
        <v>-0.91746787361953219</v>
      </c>
      <c r="C19">
        <v>1.182812734436189</v>
      </c>
      <c r="D19">
        <v>-0.77566621233314792</v>
      </c>
      <c r="E19">
        <v>0.44274691785356146</v>
      </c>
      <c r="F19">
        <v>-3.3119470702129119</v>
      </c>
      <c r="G19">
        <v>1.4770113229738477</v>
      </c>
      <c r="H19">
        <v>-3.3119470702129119</v>
      </c>
      <c r="I19">
        <v>1.4770113229738477</v>
      </c>
    </row>
    <row r="20" spans="1:9" x14ac:dyDescent="0.3">
      <c r="A20" t="s">
        <v>166</v>
      </c>
      <c r="B20">
        <v>-1.0050210488401228E-5</v>
      </c>
      <c r="C20">
        <v>1.1894026646090572E-5</v>
      </c>
      <c r="D20">
        <v>-0.84497965133654851</v>
      </c>
      <c r="E20">
        <v>0.4034111345445256</v>
      </c>
      <c r="F20">
        <v>-3.4128408616160448E-5</v>
      </c>
      <c r="G20">
        <v>1.4027987639357992E-5</v>
      </c>
      <c r="H20">
        <v>-3.4128408616160448E-5</v>
      </c>
      <c r="I20">
        <v>1.4027987639357992E-5</v>
      </c>
    </row>
    <row r="21" spans="1:9" ht="15" thickBot="1" x14ac:dyDescent="0.35">
      <c r="A21" s="12" t="s">
        <v>184</v>
      </c>
      <c r="B21" s="12">
        <v>1.4541800443532277E-5</v>
      </c>
      <c r="C21" s="12">
        <v>1.1977960183063168E-5</v>
      </c>
      <c r="D21" s="12">
        <v>1.2140464838156984</v>
      </c>
      <c r="E21" s="12">
        <v>0.23222144236422324</v>
      </c>
      <c r="F21" s="12">
        <v>-9.7063122466307561E-6</v>
      </c>
      <c r="G21" s="12">
        <v>3.8789913133695309E-5</v>
      </c>
      <c r="H21" s="12">
        <v>-9.7063122466307561E-6</v>
      </c>
      <c r="I21" s="12">
        <v>3.8789913133695309E-5</v>
      </c>
    </row>
    <row r="25" spans="1:9" x14ac:dyDescent="0.3">
      <c r="A25" t="s">
        <v>210</v>
      </c>
    </row>
    <row r="26" spans="1:9" ht="15" thickBot="1" x14ac:dyDescent="0.35"/>
    <row r="27" spans="1:9" x14ac:dyDescent="0.3">
      <c r="A27" s="13" t="s">
        <v>211</v>
      </c>
      <c r="B27" s="13" t="s">
        <v>224</v>
      </c>
      <c r="C27" s="13" t="s">
        <v>213</v>
      </c>
    </row>
    <row r="28" spans="1:9" x14ac:dyDescent="0.3">
      <c r="A28">
        <v>1</v>
      </c>
      <c r="B28">
        <v>79.868471969491779</v>
      </c>
      <c r="C28">
        <v>6.2315280305082155</v>
      </c>
    </row>
    <row r="29" spans="1:9" x14ac:dyDescent="0.3">
      <c r="A29">
        <v>2</v>
      </c>
      <c r="B29">
        <v>69.371035860918496</v>
      </c>
      <c r="C29">
        <v>22.028964139081509</v>
      </c>
    </row>
    <row r="30" spans="1:9" x14ac:dyDescent="0.3">
      <c r="A30">
        <v>3</v>
      </c>
      <c r="B30">
        <v>76.601998500163845</v>
      </c>
      <c r="C30">
        <v>39.898001499836155</v>
      </c>
    </row>
    <row r="31" spans="1:9" x14ac:dyDescent="0.3">
      <c r="A31">
        <v>4</v>
      </c>
      <c r="B31">
        <v>72.408853743936902</v>
      </c>
      <c r="C31">
        <v>42.791146256063101</v>
      </c>
    </row>
    <row r="32" spans="1:9" x14ac:dyDescent="0.3">
      <c r="A32">
        <v>5</v>
      </c>
      <c r="B32">
        <v>67.862046295505948</v>
      </c>
      <c r="C32">
        <v>22.237953704494046</v>
      </c>
    </row>
    <row r="33" spans="1:3" x14ac:dyDescent="0.3">
      <c r="A33">
        <v>6</v>
      </c>
      <c r="B33">
        <v>72.668370424437882</v>
      </c>
      <c r="C33">
        <v>13.631629575562116</v>
      </c>
    </row>
    <row r="34" spans="1:3" x14ac:dyDescent="0.3">
      <c r="A34">
        <v>7</v>
      </c>
      <c r="B34">
        <v>78.025806084305046</v>
      </c>
      <c r="C34">
        <v>5.9741939156949542</v>
      </c>
    </row>
    <row r="35" spans="1:3" x14ac:dyDescent="0.3">
      <c r="A35">
        <v>8</v>
      </c>
      <c r="B35">
        <v>65.026232848518717</v>
      </c>
      <c r="C35">
        <v>9.0737671514812774</v>
      </c>
    </row>
    <row r="36" spans="1:3" x14ac:dyDescent="0.3">
      <c r="A36">
        <v>9</v>
      </c>
      <c r="B36">
        <v>68.255474658480964</v>
      </c>
      <c r="C36">
        <v>-2.3554746584809578</v>
      </c>
    </row>
    <row r="37" spans="1:3" x14ac:dyDescent="0.3">
      <c r="A37">
        <v>10</v>
      </c>
      <c r="B37">
        <v>66.178496159529317</v>
      </c>
      <c r="C37">
        <v>-3.0784961595293154</v>
      </c>
    </row>
    <row r="38" spans="1:3" x14ac:dyDescent="0.3">
      <c r="A38">
        <v>11</v>
      </c>
      <c r="B38">
        <v>73.324372499363577</v>
      </c>
      <c r="C38">
        <v>-5.9243724993635709</v>
      </c>
    </row>
    <row r="39" spans="1:3" x14ac:dyDescent="0.3">
      <c r="A39">
        <v>12</v>
      </c>
      <c r="B39">
        <v>77.113577201003721</v>
      </c>
      <c r="C39">
        <v>5.0864227989962814</v>
      </c>
    </row>
    <row r="40" spans="1:3" x14ac:dyDescent="0.3">
      <c r="A40">
        <v>13</v>
      </c>
      <c r="B40">
        <v>87.319757024098223</v>
      </c>
      <c r="C40">
        <v>2.5802429759017826</v>
      </c>
    </row>
    <row r="41" spans="1:3" x14ac:dyDescent="0.3">
      <c r="A41">
        <v>14</v>
      </c>
      <c r="B41">
        <v>76.8619675706192</v>
      </c>
      <c r="C41">
        <v>6.0380324293808059</v>
      </c>
    </row>
    <row r="42" spans="1:3" x14ac:dyDescent="0.3">
      <c r="A42">
        <v>15</v>
      </c>
      <c r="B42">
        <v>71.780686874463896</v>
      </c>
      <c r="C42">
        <v>1.4193131255361067</v>
      </c>
    </row>
    <row r="43" spans="1:3" x14ac:dyDescent="0.3">
      <c r="A43">
        <v>16</v>
      </c>
      <c r="B43">
        <v>78.541084601099101</v>
      </c>
      <c r="C43">
        <v>-11.441084601099107</v>
      </c>
    </row>
    <row r="44" spans="1:3" x14ac:dyDescent="0.3">
      <c r="A44">
        <v>17</v>
      </c>
      <c r="B44">
        <v>73.226165907352623</v>
      </c>
      <c r="C44">
        <v>-8.3261659073526175</v>
      </c>
    </row>
    <row r="45" spans="1:3" x14ac:dyDescent="0.3">
      <c r="A45">
        <v>18</v>
      </c>
      <c r="B45">
        <v>71.504242032889934</v>
      </c>
      <c r="C45">
        <v>-12.204242032889937</v>
      </c>
    </row>
    <row r="46" spans="1:3" x14ac:dyDescent="0.3">
      <c r="A46">
        <v>19</v>
      </c>
      <c r="B46">
        <v>74.822316997665467</v>
      </c>
      <c r="C46">
        <v>-20.822316997665467</v>
      </c>
    </row>
    <row r="47" spans="1:3" x14ac:dyDescent="0.3">
      <c r="A47">
        <v>20</v>
      </c>
      <c r="B47">
        <v>69.626296317669457</v>
      </c>
      <c r="C47">
        <v>-19.026296317669456</v>
      </c>
    </row>
    <row r="48" spans="1:3" x14ac:dyDescent="0.3">
      <c r="A48">
        <v>21</v>
      </c>
      <c r="B48">
        <v>68.517766456587381</v>
      </c>
      <c r="C48">
        <v>-20.91776645658738</v>
      </c>
    </row>
    <row r="49" spans="1:3" x14ac:dyDescent="0.3">
      <c r="A49">
        <v>22</v>
      </c>
      <c r="B49">
        <v>67.143037798551973</v>
      </c>
      <c r="C49">
        <v>-10.243037798551974</v>
      </c>
    </row>
    <row r="50" spans="1:3" x14ac:dyDescent="0.3">
      <c r="A50">
        <v>23</v>
      </c>
      <c r="B50">
        <v>71.745276463874546</v>
      </c>
      <c r="C50">
        <v>-2.3452764638745407</v>
      </c>
    </row>
    <row r="51" spans="1:3" x14ac:dyDescent="0.3">
      <c r="A51">
        <v>24</v>
      </c>
      <c r="B51">
        <v>78.324246457821175</v>
      </c>
      <c r="C51">
        <v>-6.4242464578211695</v>
      </c>
    </row>
    <row r="52" spans="1:3" x14ac:dyDescent="0.3">
      <c r="A52">
        <v>25</v>
      </c>
      <c r="B52">
        <v>71.529320709995673</v>
      </c>
      <c r="C52">
        <v>-5.0293207099956732</v>
      </c>
    </row>
    <row r="53" spans="1:3" x14ac:dyDescent="0.3">
      <c r="A53">
        <v>26</v>
      </c>
      <c r="B53">
        <v>69.55300250221137</v>
      </c>
      <c r="C53">
        <v>-8.5530025022113705</v>
      </c>
    </row>
    <row r="54" spans="1:3" x14ac:dyDescent="0.3">
      <c r="A54">
        <v>27</v>
      </c>
      <c r="B54">
        <v>72.085645135792831</v>
      </c>
      <c r="C54">
        <v>-16.785645135792834</v>
      </c>
    </row>
    <row r="55" spans="1:3" x14ac:dyDescent="0.3">
      <c r="A55">
        <v>28</v>
      </c>
      <c r="B55">
        <v>76.294202031050418</v>
      </c>
      <c r="C55">
        <v>-20.894202031050419</v>
      </c>
    </row>
    <row r="56" spans="1:3" x14ac:dyDescent="0.3">
      <c r="A56">
        <v>29</v>
      </c>
      <c r="B56">
        <v>76.372536039497959</v>
      </c>
      <c r="C56">
        <v>-6.7725360394979646</v>
      </c>
    </row>
    <row r="57" spans="1:3" x14ac:dyDescent="0.3">
      <c r="A57">
        <v>30</v>
      </c>
      <c r="B57">
        <v>79.123666741139957</v>
      </c>
      <c r="C57">
        <v>32.276333258860049</v>
      </c>
    </row>
    <row r="58" spans="1:3" x14ac:dyDescent="0.3">
      <c r="A58">
        <v>31</v>
      </c>
      <c r="B58">
        <v>77.097760204166747</v>
      </c>
      <c r="C58">
        <v>38.20223979583325</v>
      </c>
    </row>
    <row r="59" spans="1:3" x14ac:dyDescent="0.3">
      <c r="A59">
        <v>32</v>
      </c>
      <c r="B59">
        <v>76.177820857979455</v>
      </c>
      <c r="C59">
        <v>31.022179142020548</v>
      </c>
    </row>
    <row r="60" spans="1:3" x14ac:dyDescent="0.3">
      <c r="A60">
        <v>33</v>
      </c>
      <c r="B60">
        <v>77.411856551974793</v>
      </c>
      <c r="C60">
        <v>19.488143448025212</v>
      </c>
    </row>
    <row r="61" spans="1:3" x14ac:dyDescent="0.3">
      <c r="A61">
        <v>34</v>
      </c>
      <c r="B61">
        <v>78.201011029972207</v>
      </c>
      <c r="C61">
        <v>10.09898897002779</v>
      </c>
    </row>
    <row r="62" spans="1:3" x14ac:dyDescent="0.3">
      <c r="A62">
        <v>35</v>
      </c>
      <c r="B62">
        <v>77.187779148638043</v>
      </c>
      <c r="C62">
        <v>-3.2877791486380374</v>
      </c>
    </row>
    <row r="63" spans="1:3" x14ac:dyDescent="0.3">
      <c r="A63">
        <v>36</v>
      </c>
      <c r="B63">
        <v>77.054641845129126</v>
      </c>
      <c r="C63">
        <v>-13.754641845129129</v>
      </c>
    </row>
    <row r="64" spans="1:3" x14ac:dyDescent="0.3">
      <c r="A64">
        <v>37</v>
      </c>
      <c r="B64">
        <v>78.613348253810074</v>
      </c>
      <c r="C64">
        <v>-20.113348253810074</v>
      </c>
    </row>
    <row r="65" spans="1:3" x14ac:dyDescent="0.3">
      <c r="A65">
        <v>38</v>
      </c>
      <c r="B65">
        <v>79.936876001180011</v>
      </c>
      <c r="C65">
        <v>-27.636876001180013</v>
      </c>
    </row>
    <row r="66" spans="1:3" x14ac:dyDescent="0.3">
      <c r="A66">
        <v>39</v>
      </c>
      <c r="B66">
        <v>80.154359777373372</v>
      </c>
      <c r="C66">
        <v>-33.454359777373369</v>
      </c>
    </row>
    <row r="67" spans="1:3" x14ac:dyDescent="0.3">
      <c r="A67">
        <v>40</v>
      </c>
      <c r="B67">
        <v>79.608107569406059</v>
      </c>
      <c r="C67">
        <v>-35.508107569406057</v>
      </c>
    </row>
    <row r="68" spans="1:3" x14ac:dyDescent="0.3">
      <c r="A68">
        <v>41</v>
      </c>
      <c r="B68">
        <v>85.258549273051415</v>
      </c>
      <c r="C68">
        <v>11.941450726948588</v>
      </c>
    </row>
    <row r="69" spans="1:3" ht="15" thickBot="1" x14ac:dyDescent="0.35">
      <c r="A69" s="12">
        <v>42</v>
      </c>
      <c r="B69" s="12">
        <v>69.421935579282248</v>
      </c>
      <c r="C69" s="12">
        <v>-5.1219355792822512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63CB-8F1D-4A95-BFC8-46CAE180B665}">
  <dimension ref="A1:I68"/>
  <sheetViews>
    <sheetView zoomScale="70" zoomScaleNormal="70" workbookViewId="0">
      <selection activeCell="E24" sqref="E24"/>
    </sheetView>
  </sheetViews>
  <sheetFormatPr defaultRowHeight="14.4" x14ac:dyDescent="0.3"/>
  <cols>
    <col min="1" max="1" width="18" customWidth="1"/>
    <col min="2" max="2" width="24.21875" customWidth="1"/>
    <col min="3" max="3" width="19.21875" customWidth="1"/>
    <col min="6" max="6" width="17.88671875" customWidth="1"/>
    <col min="7" max="7" width="13.88671875" customWidth="1"/>
    <col min="8" max="8" width="14.109375" customWidth="1"/>
    <col min="9" max="9" width="14.21875" customWidth="1"/>
  </cols>
  <sheetData>
    <row r="1" spans="1:9" x14ac:dyDescent="0.3">
      <c r="A1" t="s">
        <v>186</v>
      </c>
      <c r="B1" s="10" t="s">
        <v>227</v>
      </c>
    </row>
    <row r="2" spans="1:9" ht="15" thickBot="1" x14ac:dyDescent="0.35"/>
    <row r="3" spans="1:9" x14ac:dyDescent="0.3">
      <c r="A3" s="14" t="s">
        <v>187</v>
      </c>
      <c r="B3" s="14"/>
    </row>
    <row r="4" spans="1:9" x14ac:dyDescent="0.3">
      <c r="A4" t="s">
        <v>188</v>
      </c>
      <c r="B4">
        <v>0.99824891383576431</v>
      </c>
    </row>
    <row r="5" spans="1:9" x14ac:dyDescent="0.3">
      <c r="A5" t="s">
        <v>189</v>
      </c>
      <c r="B5">
        <v>0.9965008939742831</v>
      </c>
    </row>
    <row r="6" spans="1:9" x14ac:dyDescent="0.3">
      <c r="A6" t="s">
        <v>190</v>
      </c>
      <c r="B6">
        <v>0.99622464876172645</v>
      </c>
    </row>
    <row r="7" spans="1:9" x14ac:dyDescent="0.3">
      <c r="A7" t="s">
        <v>191</v>
      </c>
      <c r="B7">
        <v>322.13092945283648</v>
      </c>
    </row>
    <row r="8" spans="1:9" ht="15" thickBot="1" x14ac:dyDescent="0.35">
      <c r="A8" s="12" t="s">
        <v>192</v>
      </c>
      <c r="B8" s="12">
        <v>42</v>
      </c>
    </row>
    <row r="10" spans="1:9" ht="15" thickBot="1" x14ac:dyDescent="0.35">
      <c r="A10" t="s">
        <v>193</v>
      </c>
    </row>
    <row r="11" spans="1:9" x14ac:dyDescent="0.3">
      <c r="A11" s="13"/>
      <c r="B11" s="13" t="s">
        <v>198</v>
      </c>
      <c r="C11" s="13" t="s">
        <v>199</v>
      </c>
      <c r="D11" s="13" t="s">
        <v>200</v>
      </c>
      <c r="E11" s="13" t="s">
        <v>201</v>
      </c>
      <c r="F11" s="13" t="s">
        <v>202</v>
      </c>
    </row>
    <row r="12" spans="1:9" x14ac:dyDescent="0.3">
      <c r="A12" t="s">
        <v>194</v>
      </c>
      <c r="B12">
        <v>3</v>
      </c>
      <c r="C12">
        <v>1122972286.2277763</v>
      </c>
      <c r="D12">
        <v>374324095.40925878</v>
      </c>
      <c r="E12">
        <v>3607.3055701196013</v>
      </c>
      <c r="F12">
        <v>1.0832230828620874E-46</v>
      </c>
    </row>
    <row r="13" spans="1:9" x14ac:dyDescent="0.3">
      <c r="A13" t="s">
        <v>195</v>
      </c>
      <c r="B13">
        <v>38</v>
      </c>
      <c r="C13">
        <v>3943196.7569856364</v>
      </c>
      <c r="D13">
        <v>103768.33571014833</v>
      </c>
    </row>
    <row r="14" spans="1:9" ht="15" thickBot="1" x14ac:dyDescent="0.35">
      <c r="A14" s="12" t="s">
        <v>196</v>
      </c>
      <c r="B14" s="12">
        <v>41</v>
      </c>
      <c r="C14" s="12">
        <v>1126915482.984762</v>
      </c>
      <c r="D14" s="12"/>
      <c r="E14" s="12"/>
      <c r="F14" s="12"/>
    </row>
    <row r="15" spans="1:9" ht="15" thickBot="1" x14ac:dyDescent="0.35"/>
    <row r="16" spans="1:9" x14ac:dyDescent="0.3">
      <c r="A16" s="13"/>
      <c r="B16" s="13" t="s">
        <v>203</v>
      </c>
      <c r="C16" s="13" t="s">
        <v>191</v>
      </c>
      <c r="D16" s="13" t="s">
        <v>204</v>
      </c>
      <c r="E16" s="13" t="s">
        <v>205</v>
      </c>
      <c r="F16" s="13" t="s">
        <v>206</v>
      </c>
      <c r="G16" s="13" t="s">
        <v>207</v>
      </c>
      <c r="H16" s="13" t="s">
        <v>208</v>
      </c>
      <c r="I16" s="13" t="s">
        <v>209</v>
      </c>
    </row>
    <row r="17" spans="1:9" x14ac:dyDescent="0.3">
      <c r="A17" t="s">
        <v>197</v>
      </c>
      <c r="B17">
        <v>-817.0172997597233</v>
      </c>
      <c r="C17">
        <v>286.25944378967694</v>
      </c>
      <c r="D17">
        <v>-2.8541147462020833</v>
      </c>
      <c r="E17">
        <v>6.9509567985878914E-3</v>
      </c>
      <c r="F17">
        <v>-1396.5192471322321</v>
      </c>
      <c r="G17">
        <v>-237.51535238721465</v>
      </c>
      <c r="H17">
        <v>-1396.5192471322321</v>
      </c>
      <c r="I17">
        <v>-237.51535238721465</v>
      </c>
    </row>
    <row r="18" spans="1:9" x14ac:dyDescent="0.3">
      <c r="A18" t="s">
        <v>166</v>
      </c>
      <c r="B18">
        <v>-5.0423895911719163E-5</v>
      </c>
      <c r="C18">
        <v>1.2254759005752016E-4</v>
      </c>
      <c r="D18">
        <v>-0.4114637904184954</v>
      </c>
      <c r="E18">
        <v>0.68304404764655535</v>
      </c>
      <c r="F18">
        <v>-2.9850852202563958E-4</v>
      </c>
      <c r="G18">
        <v>1.9766073020220122E-4</v>
      </c>
      <c r="H18">
        <v>-2.9850852202563958E-4</v>
      </c>
      <c r="I18">
        <v>1.9766073020220122E-4</v>
      </c>
    </row>
    <row r="19" spans="1:9" x14ac:dyDescent="0.3">
      <c r="A19" t="s">
        <v>170</v>
      </c>
      <c r="B19">
        <v>0.88305796306961482</v>
      </c>
      <c r="C19">
        <v>1.1141655619888511E-2</v>
      </c>
      <c r="D19">
        <v>79.257337795767484</v>
      </c>
      <c r="E19">
        <v>8.1857314975174682E-44</v>
      </c>
      <c r="F19">
        <v>0.86050286045639546</v>
      </c>
      <c r="G19">
        <v>0.90561306568283417</v>
      </c>
      <c r="H19">
        <v>0.86050286045639546</v>
      </c>
      <c r="I19">
        <v>0.90561306568283417</v>
      </c>
    </row>
    <row r="20" spans="1:9" ht="15" thickBot="1" x14ac:dyDescent="0.35">
      <c r="A20" s="12" t="s">
        <v>173</v>
      </c>
      <c r="B20" s="12">
        <v>4.8017816954935908</v>
      </c>
      <c r="C20" s="12">
        <v>2.756026957875827</v>
      </c>
      <c r="D20" s="12">
        <v>1.7422840084243965</v>
      </c>
      <c r="E20" s="12">
        <v>8.9548121550990442E-2</v>
      </c>
      <c r="F20" s="12">
        <v>-0.77750319361429465</v>
      </c>
      <c r="G20" s="12">
        <v>10.381066584601477</v>
      </c>
      <c r="H20" s="12">
        <v>-0.77750319361429465</v>
      </c>
      <c r="I20" s="12">
        <v>10.381066584601477</v>
      </c>
    </row>
    <row r="24" spans="1:9" x14ac:dyDescent="0.3">
      <c r="A24" t="s">
        <v>210</v>
      </c>
    </row>
    <row r="25" spans="1:9" ht="15" thickBot="1" x14ac:dyDescent="0.35"/>
    <row r="26" spans="1:9" x14ac:dyDescent="0.3">
      <c r="A26" s="13" t="s">
        <v>211</v>
      </c>
      <c r="B26" s="13" t="s">
        <v>226</v>
      </c>
      <c r="C26" s="13" t="s">
        <v>213</v>
      </c>
    </row>
    <row r="27" spans="1:9" x14ac:dyDescent="0.3">
      <c r="A27">
        <v>1</v>
      </c>
      <c r="B27">
        <v>2119.8707362080204</v>
      </c>
      <c r="C27">
        <v>204.62926379197961</v>
      </c>
    </row>
    <row r="28" spans="1:9" x14ac:dyDescent="0.3">
      <c r="A28">
        <v>2</v>
      </c>
      <c r="B28">
        <v>2458.2187086302142</v>
      </c>
      <c r="C28">
        <v>144.98129136978559</v>
      </c>
    </row>
    <row r="29" spans="1:9" x14ac:dyDescent="0.3">
      <c r="A29">
        <v>3</v>
      </c>
      <c r="B29">
        <v>2705.0459971010773</v>
      </c>
      <c r="C29">
        <v>84.454002898922681</v>
      </c>
    </row>
    <row r="30" spans="1:9" x14ac:dyDescent="0.3">
      <c r="A30">
        <v>4</v>
      </c>
      <c r="B30">
        <v>2962.3015693978796</v>
      </c>
      <c r="C30">
        <v>19.398430602120243</v>
      </c>
    </row>
    <row r="31" spans="1:9" x14ac:dyDescent="0.3">
      <c r="A31">
        <v>5</v>
      </c>
      <c r="B31">
        <v>3197.0084015684006</v>
      </c>
      <c r="C31">
        <v>91.691598431599232</v>
      </c>
    </row>
    <row r="32" spans="1:9" x14ac:dyDescent="0.3">
      <c r="A32">
        <v>6</v>
      </c>
      <c r="B32">
        <v>3450.5740220656076</v>
      </c>
      <c r="C32">
        <v>72.32597793439254</v>
      </c>
    </row>
    <row r="33" spans="1:3" x14ac:dyDescent="0.3">
      <c r="A33">
        <v>7</v>
      </c>
      <c r="B33">
        <v>3678.2237269187353</v>
      </c>
      <c r="C33">
        <v>52.97627308126448</v>
      </c>
    </row>
    <row r="34" spans="1:3" x14ac:dyDescent="0.3">
      <c r="A34">
        <v>8</v>
      </c>
      <c r="B34">
        <v>3848.9650749434322</v>
      </c>
      <c r="C34">
        <v>97.834925056567954</v>
      </c>
    </row>
    <row r="35" spans="1:3" x14ac:dyDescent="0.3">
      <c r="A35">
        <v>9</v>
      </c>
      <c r="B35">
        <v>4134.5474998734717</v>
      </c>
      <c r="C35">
        <v>145.45250012652832</v>
      </c>
    </row>
    <row r="36" spans="1:3" x14ac:dyDescent="0.3">
      <c r="A36">
        <v>10</v>
      </c>
      <c r="B36">
        <v>4451.0979780289645</v>
      </c>
      <c r="C36">
        <v>169.90202197103554</v>
      </c>
    </row>
    <row r="37" spans="1:3" x14ac:dyDescent="0.3">
      <c r="A37">
        <v>11</v>
      </c>
      <c r="B37">
        <v>4741.8608139244716</v>
      </c>
      <c r="C37">
        <v>171.4391860755286</v>
      </c>
    </row>
    <row r="38" spans="1:3" x14ac:dyDescent="0.3">
      <c r="A38">
        <v>12</v>
      </c>
      <c r="B38">
        <v>4973.0054134552629</v>
      </c>
      <c r="C38">
        <v>116.89458654473674</v>
      </c>
    </row>
    <row r="39" spans="1:3" x14ac:dyDescent="0.3">
      <c r="A39">
        <v>13</v>
      </c>
      <c r="B39">
        <v>5375.5167099378905</v>
      </c>
      <c r="C39">
        <v>41.983290062109518</v>
      </c>
    </row>
    <row r="40" spans="1:3" x14ac:dyDescent="0.3">
      <c r="A40">
        <v>14</v>
      </c>
      <c r="B40">
        <v>5651.0980409453896</v>
      </c>
      <c r="C40">
        <v>1.8019590546100517</v>
      </c>
    </row>
    <row r="41" spans="1:3" x14ac:dyDescent="0.3">
      <c r="A41">
        <v>15</v>
      </c>
      <c r="B41">
        <v>5977.5159540620261</v>
      </c>
      <c r="C41">
        <v>-36.615954062026503</v>
      </c>
    </row>
    <row r="42" spans="1:3" x14ac:dyDescent="0.3">
      <c r="A42">
        <v>16</v>
      </c>
      <c r="B42">
        <v>6278.9883237987206</v>
      </c>
      <c r="C42">
        <v>4.4116762012790787</v>
      </c>
    </row>
    <row r="43" spans="1:3" x14ac:dyDescent="0.3">
      <c r="A43">
        <v>17</v>
      </c>
      <c r="B43">
        <v>6656.5163579043401</v>
      </c>
      <c r="C43">
        <v>9.6836420956597067</v>
      </c>
    </row>
    <row r="44" spans="1:3" x14ac:dyDescent="0.3">
      <c r="A44">
        <v>18</v>
      </c>
      <c r="B44">
        <v>7076.9186164202074</v>
      </c>
      <c r="C44">
        <v>-2.9186164202073996</v>
      </c>
    </row>
    <row r="45" spans="1:3" x14ac:dyDescent="0.3">
      <c r="A45">
        <v>19</v>
      </c>
      <c r="B45">
        <v>7496.4379831803408</v>
      </c>
      <c r="C45">
        <v>91.962016819658857</v>
      </c>
    </row>
    <row r="46" spans="1:3" x14ac:dyDescent="0.3">
      <c r="A46">
        <v>20</v>
      </c>
      <c r="B46">
        <v>7982.6916826754623</v>
      </c>
      <c r="C46">
        <v>-4.0916826754619251</v>
      </c>
    </row>
    <row r="47" spans="1:3" x14ac:dyDescent="0.3">
      <c r="A47">
        <v>21</v>
      </c>
      <c r="B47">
        <v>8511.7366879901183</v>
      </c>
      <c r="C47">
        <v>109.56331200988097</v>
      </c>
    </row>
    <row r="48" spans="1:3" x14ac:dyDescent="0.3">
      <c r="A48">
        <v>22</v>
      </c>
      <c r="B48">
        <v>8821.3379291841738</v>
      </c>
      <c r="C48">
        <v>171.76207081582652</v>
      </c>
    </row>
    <row r="49" spans="1:3" x14ac:dyDescent="0.3">
      <c r="A49">
        <v>23</v>
      </c>
      <c r="B49">
        <v>9171.8509192367401</v>
      </c>
      <c r="C49">
        <v>-21.850919236740083</v>
      </c>
    </row>
    <row r="50" spans="1:3" x14ac:dyDescent="0.3">
      <c r="A50">
        <v>24</v>
      </c>
      <c r="B50">
        <v>9666.3925289971703</v>
      </c>
      <c r="C50">
        <v>-184.59252899717103</v>
      </c>
    </row>
    <row r="51" spans="1:3" x14ac:dyDescent="0.3">
      <c r="A51">
        <v>25</v>
      </c>
      <c r="B51">
        <v>10310.790911763823</v>
      </c>
      <c r="C51">
        <v>-294.89091176382317</v>
      </c>
    </row>
    <row r="52" spans="1:3" x14ac:dyDescent="0.3">
      <c r="A52">
        <v>26</v>
      </c>
      <c r="B52">
        <v>10998.699517246909</v>
      </c>
      <c r="C52">
        <v>-452.59951724690836</v>
      </c>
    </row>
    <row r="53" spans="1:3" x14ac:dyDescent="0.3">
      <c r="A53">
        <v>27</v>
      </c>
      <c r="B53">
        <v>11649.360684770401</v>
      </c>
      <c r="C53">
        <v>-347.36068477040135</v>
      </c>
    </row>
    <row r="54" spans="1:3" x14ac:dyDescent="0.3">
      <c r="A54">
        <v>28</v>
      </c>
      <c r="B54">
        <v>12236.112612704661</v>
      </c>
      <c r="C54">
        <v>-304.01261270466057</v>
      </c>
    </row>
    <row r="55" spans="1:3" x14ac:dyDescent="0.3">
      <c r="A55">
        <v>29</v>
      </c>
      <c r="B55">
        <v>12560.057386390397</v>
      </c>
      <c r="C55">
        <v>-134.35738639039664</v>
      </c>
    </row>
    <row r="56" spans="1:3" x14ac:dyDescent="0.3">
      <c r="A56">
        <v>30</v>
      </c>
      <c r="B56">
        <v>12490.643921205772</v>
      </c>
      <c r="C56">
        <v>-424.9439212057714</v>
      </c>
    </row>
    <row r="57" spans="1:3" x14ac:dyDescent="0.3">
      <c r="A57">
        <v>31</v>
      </c>
      <c r="B57">
        <v>13012.572944698204</v>
      </c>
      <c r="C57">
        <v>-455.97294469820372</v>
      </c>
    </row>
    <row r="58" spans="1:3" x14ac:dyDescent="0.3">
      <c r="A58">
        <v>32</v>
      </c>
      <c r="B58">
        <v>13452.70266759046</v>
      </c>
      <c r="C58">
        <v>-143.10266759045953</v>
      </c>
    </row>
    <row r="59" spans="1:3" x14ac:dyDescent="0.3">
      <c r="A59">
        <v>33</v>
      </c>
      <c r="B59">
        <v>13979.155338967348</v>
      </c>
      <c r="C59">
        <v>-61.355338967348871</v>
      </c>
    </row>
    <row r="60" spans="1:3" x14ac:dyDescent="0.3">
      <c r="A60">
        <v>34</v>
      </c>
      <c r="B60">
        <v>14490.961729795225</v>
      </c>
      <c r="C60">
        <v>-422.16172979522526</v>
      </c>
    </row>
    <row r="61" spans="1:3" x14ac:dyDescent="0.3">
      <c r="A61">
        <v>35</v>
      </c>
      <c r="B61">
        <v>15060.706315398656</v>
      </c>
      <c r="C61">
        <v>-276.60631539865608</v>
      </c>
    </row>
    <row r="62" spans="1:3" x14ac:dyDescent="0.3">
      <c r="A62">
        <v>36</v>
      </c>
      <c r="B62">
        <v>15608.847572263756</v>
      </c>
      <c r="C62">
        <v>-135.14757226375514</v>
      </c>
    </row>
    <row r="63" spans="1:3" x14ac:dyDescent="0.3">
      <c r="A63">
        <v>37</v>
      </c>
      <c r="B63">
        <v>16027.864290673913</v>
      </c>
      <c r="C63">
        <v>-140.16429067391255</v>
      </c>
    </row>
    <row r="64" spans="1:3" x14ac:dyDescent="0.3">
      <c r="A64">
        <v>38</v>
      </c>
      <c r="B64">
        <v>16712.594194353489</v>
      </c>
      <c r="C64">
        <v>-49.794194353489729</v>
      </c>
    </row>
    <row r="65" spans="1:3" x14ac:dyDescent="0.3">
      <c r="A65">
        <v>39</v>
      </c>
      <c r="B65">
        <v>17616.269928451286</v>
      </c>
      <c r="C65">
        <v>-88.069928451284795</v>
      </c>
    </row>
    <row r="66" spans="1:3" x14ac:dyDescent="0.3">
      <c r="A66">
        <v>40</v>
      </c>
      <c r="B66">
        <v>18388.410813937808</v>
      </c>
      <c r="C66">
        <v>-25.210813937806961</v>
      </c>
    </row>
    <row r="67" spans="1:3" x14ac:dyDescent="0.3">
      <c r="A67">
        <v>41</v>
      </c>
      <c r="B67">
        <v>18509.517303204255</v>
      </c>
      <c r="C67">
        <v>1122.1826967957459</v>
      </c>
    </row>
    <row r="68" spans="1:3" ht="15" thickBot="1" x14ac:dyDescent="0.35">
      <c r="A68" s="12">
        <v>42</v>
      </c>
      <c r="B68" s="12">
        <v>20418.410190135648</v>
      </c>
      <c r="C68" s="12">
        <v>1080.4898098643534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518A-AA0D-4900-B219-D65224D67800}">
  <dimension ref="A1:AG69"/>
  <sheetViews>
    <sheetView topLeftCell="J1" zoomScale="70" zoomScaleNormal="70" workbookViewId="0">
      <selection activeCell="P54" sqref="P54"/>
    </sheetView>
  </sheetViews>
  <sheetFormatPr defaultRowHeight="14.4" x14ac:dyDescent="0.3"/>
  <cols>
    <col min="1" max="1" width="23.77734375" customWidth="1"/>
    <col min="2" max="2" width="19.77734375" customWidth="1"/>
    <col min="3" max="3" width="17.5546875" customWidth="1"/>
    <col min="4" max="4" width="20.6640625" customWidth="1"/>
    <col min="5" max="5" width="26.109375" customWidth="1"/>
    <col min="6" max="6" width="16" customWidth="1"/>
    <col min="7" max="7" width="22.21875" customWidth="1"/>
    <col min="8" max="8" width="20" customWidth="1"/>
    <col min="9" max="9" width="16" customWidth="1"/>
    <col min="11" max="11" width="30.6640625" customWidth="1"/>
    <col min="12" max="12" width="21.77734375" customWidth="1"/>
    <col min="13" max="13" width="19.5546875" customWidth="1"/>
    <col min="15" max="15" width="30.77734375" customWidth="1"/>
    <col min="16" max="16" width="21.5546875" customWidth="1"/>
    <col min="17" max="17" width="25.44140625" customWidth="1"/>
    <col min="20" max="20" width="17.77734375" customWidth="1"/>
    <col min="21" max="21" width="17.33203125" customWidth="1"/>
    <col min="22" max="22" width="16.33203125" customWidth="1"/>
    <col min="23" max="23" width="14.88671875" customWidth="1"/>
    <col min="25" max="25" width="16" style="1" customWidth="1"/>
    <col min="26" max="26" width="17" style="1" customWidth="1"/>
    <col min="27" max="27" width="14.88671875" style="1" customWidth="1"/>
    <col min="28" max="29" width="8.88671875" style="1"/>
    <col min="30" max="30" width="21" style="1" customWidth="1"/>
    <col min="31" max="31" width="13.44140625" style="1" customWidth="1"/>
    <col min="32" max="32" width="18.88671875" style="1" customWidth="1"/>
    <col min="33" max="33" width="8.88671875" style="1"/>
  </cols>
  <sheetData>
    <row r="1" spans="1:32" x14ac:dyDescent="0.3">
      <c r="A1" s="9" t="s">
        <v>0</v>
      </c>
      <c r="B1" s="9" t="s">
        <v>166</v>
      </c>
      <c r="C1" s="9" t="s">
        <v>169</v>
      </c>
      <c r="D1" s="9" t="s">
        <v>170</v>
      </c>
      <c r="E1" s="9" t="s">
        <v>171</v>
      </c>
      <c r="F1" s="9" t="s">
        <v>172</v>
      </c>
      <c r="G1" s="9" t="s">
        <v>173</v>
      </c>
      <c r="H1" s="9" t="s">
        <v>184</v>
      </c>
      <c r="I1" s="9" t="s">
        <v>185</v>
      </c>
      <c r="K1" s="9" t="s">
        <v>166</v>
      </c>
      <c r="L1" s="9" t="str">
        <f>G1</f>
        <v>Unemployment Rate</v>
      </c>
      <c r="M1" s="9" t="str">
        <f>H1</f>
        <v>Immigration Lag1</v>
      </c>
      <c r="Y1" s="1" t="str">
        <f>E1</f>
        <v>GDP Growth Rate</v>
      </c>
      <c r="Z1" s="1" t="str">
        <f>B1</f>
        <v>Net Immigration</v>
      </c>
      <c r="AA1" s="1" t="str">
        <f>H1</f>
        <v>Immigration Lag1</v>
      </c>
      <c r="AD1" s="1" t="str">
        <f>B1</f>
        <v>Net Immigration</v>
      </c>
      <c r="AE1" s="1" t="str">
        <f>D1</f>
        <v>GDP Nominal</v>
      </c>
      <c r="AF1" s="1" t="str">
        <f>G1</f>
        <v>Unemployment Rate</v>
      </c>
    </row>
    <row r="2" spans="1:32" x14ac:dyDescent="0.3">
      <c r="A2" s="1">
        <v>1980</v>
      </c>
      <c r="B2" s="2">
        <f>VLOOKUP(A2,'Raw_Imigration data'!A:G, 7, FALSE)</f>
        <v>-5813</v>
      </c>
      <c r="C2" s="1">
        <f>VLOOKUP(A2,'Raw_Imigration data'!A:H, 8, FALSE)</f>
        <v>-2325.1999999999998</v>
      </c>
      <c r="D2" s="1">
        <f>'Raw_Gross Domestic Product '!B3</f>
        <v>2857.3</v>
      </c>
      <c r="E2" s="1"/>
      <c r="F2" s="1">
        <f>'Raw_Personal Income and Its Dis'!C3</f>
        <v>2324.5</v>
      </c>
      <c r="G2" s="1">
        <f>Raw_Unemployment!B2</f>
        <v>86.1</v>
      </c>
      <c r="H2" s="1"/>
      <c r="I2" s="1"/>
      <c r="K2" s="2">
        <f>B2</f>
        <v>-5813</v>
      </c>
      <c r="L2" s="1">
        <f t="shared" ref="L2:M38" si="0">G2</f>
        <v>86.1</v>
      </c>
      <c r="M2" s="1">
        <f t="shared" si="0"/>
        <v>0</v>
      </c>
      <c r="O2" t="s">
        <v>186</v>
      </c>
      <c r="P2" s="10" t="s">
        <v>228</v>
      </c>
      <c r="Y2" s="1">
        <f t="shared" ref="Y2:Y38" si="1">E2</f>
        <v>0</v>
      </c>
      <c r="Z2" s="1">
        <f t="shared" ref="Z2:Z38" si="2">B2</f>
        <v>-5813</v>
      </c>
      <c r="AA2" s="1">
        <f t="shared" ref="AA2:AA38" si="3">H2</f>
        <v>0</v>
      </c>
      <c r="AD2" s="1">
        <f t="shared" ref="AD2:AD38" si="4">B2</f>
        <v>-5813</v>
      </c>
      <c r="AE2" s="1">
        <f t="shared" ref="AE2:AE38" si="5">D2</f>
        <v>2857.3</v>
      </c>
      <c r="AF2" s="1">
        <f t="shared" ref="AF2:AF38" si="6">G2</f>
        <v>86.1</v>
      </c>
    </row>
    <row r="3" spans="1:32" ht="15" thickBot="1" x14ac:dyDescent="0.35">
      <c r="A3" s="1">
        <v>1981</v>
      </c>
      <c r="B3" s="2">
        <f>VLOOKUP(A3,'Raw_Imigration data'!A:G, 7, FALSE)</f>
        <v>-86988</v>
      </c>
      <c r="C3" s="1">
        <f>VLOOKUP(A3,'Raw_Imigration data'!A:H, 8, FALSE)</f>
        <v>-34795.199999999997</v>
      </c>
      <c r="D3" s="1">
        <f>'Raw_Gross Domestic Product '!C3</f>
        <v>3207</v>
      </c>
      <c r="E3" s="11">
        <f>((D3-D2)/D2)*100</f>
        <v>12.238826864522444</v>
      </c>
      <c r="F3" s="1">
        <f>'Raw_Personal Income and Its Dis'!D3</f>
        <v>2603.1999999999998</v>
      </c>
      <c r="G3" s="1">
        <f>Raw_Unemployment!B3</f>
        <v>91.4</v>
      </c>
      <c r="H3" s="2">
        <f>B2</f>
        <v>-5813</v>
      </c>
      <c r="I3" s="1"/>
      <c r="K3" s="2">
        <f t="shared" ref="K3:K38" si="7">B3</f>
        <v>-86988</v>
      </c>
      <c r="L3" s="1">
        <f t="shared" si="0"/>
        <v>91.4</v>
      </c>
      <c r="M3" s="1">
        <f t="shared" si="0"/>
        <v>-5813</v>
      </c>
      <c r="Y3" s="1">
        <f t="shared" si="1"/>
        <v>12.238826864522444</v>
      </c>
      <c r="Z3" s="1">
        <f t="shared" si="2"/>
        <v>-86988</v>
      </c>
      <c r="AA3" s="1">
        <f t="shared" si="3"/>
        <v>-5813</v>
      </c>
      <c r="AD3" s="1">
        <f t="shared" si="4"/>
        <v>-86988</v>
      </c>
      <c r="AE3" s="1">
        <f t="shared" si="5"/>
        <v>3207</v>
      </c>
      <c r="AF3" s="1">
        <f t="shared" si="6"/>
        <v>91.4</v>
      </c>
    </row>
    <row r="4" spans="1:32" x14ac:dyDescent="0.3">
      <c r="A4" s="1">
        <v>1982</v>
      </c>
      <c r="B4" s="2">
        <f>VLOOKUP(A4,'Raw_Imigration data'!A:G, 7, FALSE)</f>
        <v>-196068</v>
      </c>
      <c r="C4" s="1">
        <f>VLOOKUP(A4,'Raw_Imigration data'!A:H, 8, FALSE)</f>
        <v>-78427.199999999997</v>
      </c>
      <c r="D4" s="1">
        <f>'Raw_Gross Domestic Product '!D3</f>
        <v>3343.8</v>
      </c>
      <c r="E4" s="11">
        <f t="shared" ref="E4:E37" si="8">((D4-D3)/D3)*100</f>
        <v>4.2656688493919601</v>
      </c>
      <c r="F4" s="1">
        <f>'Raw_Personal Income and Its Dis'!E3</f>
        <v>2789.5</v>
      </c>
      <c r="G4" s="1">
        <f>Raw_Unemployment!B4</f>
        <v>116.5</v>
      </c>
      <c r="H4" s="2">
        <f t="shared" ref="H4:H37" si="9">B3</f>
        <v>-86988</v>
      </c>
      <c r="I4" s="1">
        <f t="shared" ref="I4:I37" si="10">E3</f>
        <v>12.238826864522444</v>
      </c>
      <c r="K4" s="2">
        <f t="shared" si="7"/>
        <v>-196068</v>
      </c>
      <c r="L4" s="1">
        <f t="shared" si="0"/>
        <v>116.5</v>
      </c>
      <c r="M4" s="1">
        <f t="shared" si="0"/>
        <v>-86988</v>
      </c>
      <c r="O4" s="14" t="s">
        <v>187</v>
      </c>
      <c r="P4" s="14"/>
      <c r="Y4" s="1">
        <f t="shared" si="1"/>
        <v>4.2656688493919601</v>
      </c>
      <c r="Z4" s="1">
        <f t="shared" si="2"/>
        <v>-196068</v>
      </c>
      <c r="AA4" s="1">
        <f t="shared" si="3"/>
        <v>-86988</v>
      </c>
      <c r="AD4" s="1">
        <f t="shared" si="4"/>
        <v>-196068</v>
      </c>
      <c r="AE4" s="1">
        <f t="shared" si="5"/>
        <v>3343.8</v>
      </c>
      <c r="AF4" s="1">
        <f t="shared" si="6"/>
        <v>116.5</v>
      </c>
    </row>
    <row r="5" spans="1:32" x14ac:dyDescent="0.3">
      <c r="A5" s="1">
        <v>1983</v>
      </c>
      <c r="B5" s="2">
        <f>VLOOKUP(A5,'Raw_Imigration data'!A:G, 7, FALSE)</f>
        <v>-339541</v>
      </c>
      <c r="C5" s="1">
        <f>VLOOKUP(A5,'Raw_Imigration data'!A:H, 8, FALSE)</f>
        <v>-135816.4</v>
      </c>
      <c r="D5" s="1">
        <f>'Raw_Gross Domestic Product '!E3</f>
        <v>3634</v>
      </c>
      <c r="E5" s="11">
        <f t="shared" si="8"/>
        <v>8.6787487289909624</v>
      </c>
      <c r="F5" s="1">
        <f>'Raw_Personal Income and Its Dis'!F3</f>
        <v>2981.7</v>
      </c>
      <c r="G5" s="1">
        <f>Raw_Unemployment!B5</f>
        <v>115.2</v>
      </c>
      <c r="H5" s="2">
        <f t="shared" si="9"/>
        <v>-196068</v>
      </c>
      <c r="I5" s="1">
        <f t="shared" si="10"/>
        <v>4.2656688493919601</v>
      </c>
      <c r="K5" s="2">
        <f t="shared" si="7"/>
        <v>-339541</v>
      </c>
      <c r="L5" s="1">
        <f t="shared" si="0"/>
        <v>115.2</v>
      </c>
      <c r="M5" s="1">
        <f t="shared" si="0"/>
        <v>-196068</v>
      </c>
      <c r="O5" t="s">
        <v>188</v>
      </c>
      <c r="P5">
        <v>0.45658094137036825</v>
      </c>
      <c r="Y5" s="1">
        <f t="shared" si="1"/>
        <v>8.6787487289909624</v>
      </c>
      <c r="Z5" s="1">
        <f t="shared" si="2"/>
        <v>-339541</v>
      </c>
      <c r="AA5" s="1">
        <f t="shared" si="3"/>
        <v>-196068</v>
      </c>
      <c r="AD5" s="1">
        <f t="shared" si="4"/>
        <v>-339541</v>
      </c>
      <c r="AE5" s="1">
        <f t="shared" si="5"/>
        <v>3634</v>
      </c>
      <c r="AF5" s="1">
        <f t="shared" si="6"/>
        <v>115.2</v>
      </c>
    </row>
    <row r="6" spans="1:32" x14ac:dyDescent="0.3">
      <c r="A6" s="1">
        <v>1984</v>
      </c>
      <c r="B6" s="2">
        <f>VLOOKUP(A6,'Raw_Imigration data'!A:G, 7, FALSE)</f>
        <v>-316325</v>
      </c>
      <c r="C6" s="1">
        <f>VLOOKUP(A6,'Raw_Imigration data'!A:H, 8, FALSE)</f>
        <v>-126530.00000000001</v>
      </c>
      <c r="D6" s="1">
        <f>'Raw_Gross Domestic Product '!F3</f>
        <v>4037.6</v>
      </c>
      <c r="E6" s="11">
        <f t="shared" si="8"/>
        <v>11.106219042377543</v>
      </c>
      <c r="F6" s="1">
        <f>'Raw_Personal Income and Its Dis'!G3</f>
        <v>3288.7</v>
      </c>
      <c r="G6" s="1">
        <f>Raw_Unemployment!B6</f>
        <v>90.1</v>
      </c>
      <c r="H6" s="2">
        <f t="shared" si="9"/>
        <v>-339541</v>
      </c>
      <c r="I6" s="1">
        <f t="shared" si="10"/>
        <v>8.6787487289909624</v>
      </c>
      <c r="K6" s="2">
        <f t="shared" si="7"/>
        <v>-316325</v>
      </c>
      <c r="L6" s="1">
        <f t="shared" si="0"/>
        <v>90.1</v>
      </c>
      <c r="M6" s="1">
        <f t="shared" si="0"/>
        <v>-339541</v>
      </c>
      <c r="O6" t="s">
        <v>189</v>
      </c>
      <c r="P6">
        <v>0.20846615602265164</v>
      </c>
      <c r="Y6" s="1">
        <f t="shared" si="1"/>
        <v>11.106219042377543</v>
      </c>
      <c r="Z6" s="1">
        <f t="shared" si="2"/>
        <v>-316325</v>
      </c>
      <c r="AA6" s="1">
        <f t="shared" si="3"/>
        <v>-339541</v>
      </c>
      <c r="AD6" s="1">
        <f t="shared" si="4"/>
        <v>-316325</v>
      </c>
      <c r="AE6" s="1">
        <f t="shared" si="5"/>
        <v>4037.6</v>
      </c>
      <c r="AF6" s="1">
        <f t="shared" si="6"/>
        <v>90.1</v>
      </c>
    </row>
    <row r="7" spans="1:32" x14ac:dyDescent="0.3">
      <c r="A7" s="1">
        <v>1985</v>
      </c>
      <c r="B7" s="2">
        <f>VLOOKUP(A7,'Raw_Imigration data'!A:G, 7, FALSE)</f>
        <v>-428548</v>
      </c>
      <c r="C7" s="1">
        <f>VLOOKUP(A7,'Raw_Imigration data'!A:H, 8, FALSE)</f>
        <v>-171419.19999999998</v>
      </c>
      <c r="D7" s="1">
        <f>'Raw_Gross Domestic Product '!G3</f>
        <v>4339</v>
      </c>
      <c r="E7" s="11">
        <f t="shared" si="8"/>
        <v>7.4648305924311504</v>
      </c>
      <c r="F7" s="1">
        <f>'Raw_Personal Income and Its Dis'!H3</f>
        <v>3522.9</v>
      </c>
      <c r="G7" s="1">
        <f>Raw_Unemployment!B7</f>
        <v>86.3</v>
      </c>
      <c r="H7" s="2">
        <f t="shared" si="9"/>
        <v>-316325</v>
      </c>
      <c r="I7" s="1">
        <f t="shared" si="10"/>
        <v>11.106219042377543</v>
      </c>
      <c r="K7" s="2">
        <f t="shared" si="7"/>
        <v>-428548</v>
      </c>
      <c r="L7" s="1">
        <f t="shared" si="0"/>
        <v>86.3</v>
      </c>
      <c r="M7" s="1">
        <f t="shared" si="0"/>
        <v>-316325</v>
      </c>
      <c r="O7" t="s">
        <v>190</v>
      </c>
      <c r="P7">
        <v>0.13425985814977523</v>
      </c>
      <c r="Y7" s="1">
        <f t="shared" si="1"/>
        <v>7.4648305924311504</v>
      </c>
      <c r="Z7" s="1">
        <f t="shared" si="2"/>
        <v>-428548</v>
      </c>
      <c r="AA7" s="1">
        <f t="shared" si="3"/>
        <v>-316325</v>
      </c>
      <c r="AD7" s="1">
        <f t="shared" si="4"/>
        <v>-428548</v>
      </c>
      <c r="AE7" s="1">
        <f t="shared" si="5"/>
        <v>4339</v>
      </c>
      <c r="AF7" s="1">
        <f t="shared" si="6"/>
        <v>86.3</v>
      </c>
    </row>
    <row r="8" spans="1:32" x14ac:dyDescent="0.3">
      <c r="A8" s="1">
        <v>1986</v>
      </c>
      <c r="B8" s="2">
        <f>VLOOKUP(A8,'Raw_Imigration data'!A:G, 7, FALSE)</f>
        <v>-948739</v>
      </c>
      <c r="C8" s="1">
        <f>VLOOKUP(A8,'Raw_Imigration data'!A:H, 8, FALSE)</f>
        <v>-379495.6</v>
      </c>
      <c r="D8" s="1">
        <f>'Raw_Gross Domestic Product '!H3</f>
        <v>4579.6000000000004</v>
      </c>
      <c r="E8" s="11">
        <f t="shared" si="8"/>
        <v>5.5450564646231939</v>
      </c>
      <c r="F8" s="1">
        <f>'Raw_Personal Income and Its Dis'!I3</f>
        <v>3731.2</v>
      </c>
      <c r="G8" s="1">
        <f>Raw_Unemployment!B8</f>
        <v>84</v>
      </c>
      <c r="H8" s="2">
        <f t="shared" si="9"/>
        <v>-428548</v>
      </c>
      <c r="I8" s="1">
        <f t="shared" si="10"/>
        <v>7.4648305924311504</v>
      </c>
      <c r="K8" s="2">
        <f t="shared" si="7"/>
        <v>-948739</v>
      </c>
      <c r="L8" s="1">
        <f t="shared" si="0"/>
        <v>84</v>
      </c>
      <c r="M8" s="1">
        <f t="shared" si="0"/>
        <v>-428548</v>
      </c>
      <c r="O8" t="s">
        <v>191</v>
      </c>
      <c r="P8">
        <v>6.3510312046923607</v>
      </c>
      <c r="Y8" s="1">
        <f t="shared" si="1"/>
        <v>5.5450564646231939</v>
      </c>
      <c r="Z8" s="1">
        <f t="shared" si="2"/>
        <v>-948739</v>
      </c>
      <c r="AA8" s="1">
        <f t="shared" si="3"/>
        <v>-428548</v>
      </c>
      <c r="AD8" s="1">
        <f t="shared" si="4"/>
        <v>-948739</v>
      </c>
      <c r="AE8" s="1">
        <f t="shared" si="5"/>
        <v>4579.6000000000004</v>
      </c>
      <c r="AF8" s="1">
        <f t="shared" si="6"/>
        <v>84</v>
      </c>
    </row>
    <row r="9" spans="1:32" ht="15" thickBot="1" x14ac:dyDescent="0.35">
      <c r="A9" s="1">
        <v>1987</v>
      </c>
      <c r="B9" s="2">
        <f>VLOOKUP(A9,'Raw_Imigration data'!A:G, 7, FALSE)</f>
        <v>-451122</v>
      </c>
      <c r="C9" s="1">
        <f>VLOOKUP(A9,'Raw_Imigration data'!A:H, 8, FALSE)</f>
        <v>-180448.80000000002</v>
      </c>
      <c r="D9" s="1">
        <f>'Raw_Gross Domestic Product '!I3</f>
        <v>4855.2</v>
      </c>
      <c r="E9" s="11">
        <f t="shared" si="8"/>
        <v>6.0179928378024155</v>
      </c>
      <c r="F9" s="1">
        <f>'Raw_Personal Income and Its Dis'!J3</f>
        <v>3946.8</v>
      </c>
      <c r="G9" s="1">
        <f>Raw_Unemployment!B9</f>
        <v>74.099999999999994</v>
      </c>
      <c r="H9" s="2">
        <f t="shared" si="9"/>
        <v>-948739</v>
      </c>
      <c r="I9" s="1">
        <f t="shared" si="10"/>
        <v>5.5450564646231939</v>
      </c>
      <c r="K9" s="2">
        <f t="shared" si="7"/>
        <v>-451122</v>
      </c>
      <c r="L9" s="1">
        <f t="shared" si="0"/>
        <v>74.099999999999994</v>
      </c>
      <c r="M9" s="1">
        <f t="shared" si="0"/>
        <v>-948739</v>
      </c>
      <c r="O9" s="12" t="s">
        <v>192</v>
      </c>
      <c r="P9" s="12">
        <v>36</v>
      </c>
      <c r="Y9" s="1">
        <f t="shared" si="1"/>
        <v>6.0179928378024155</v>
      </c>
      <c r="Z9" s="1">
        <f t="shared" si="2"/>
        <v>-451122</v>
      </c>
      <c r="AA9" s="1">
        <f t="shared" si="3"/>
        <v>-948739</v>
      </c>
      <c r="AD9" s="1">
        <f t="shared" si="4"/>
        <v>-451122</v>
      </c>
      <c r="AE9" s="1">
        <f t="shared" si="5"/>
        <v>4855.2</v>
      </c>
      <c r="AF9" s="1">
        <f t="shared" si="6"/>
        <v>74.099999999999994</v>
      </c>
    </row>
    <row r="10" spans="1:32" x14ac:dyDescent="0.3">
      <c r="A10" s="1">
        <v>1988</v>
      </c>
      <c r="B10" s="2">
        <f>VLOOKUP(A10,'Raw_Imigration data'!A:G, 7, FALSE)</f>
        <v>-219790</v>
      </c>
      <c r="C10" s="1">
        <f>VLOOKUP(A10,'Raw_Imigration data'!A:H, 8, FALSE)</f>
        <v>-87916</v>
      </c>
      <c r="D10" s="1">
        <f>'Raw_Gross Domestic Product '!J3</f>
        <v>5236.3999999999996</v>
      </c>
      <c r="E10" s="11">
        <f t="shared" si="8"/>
        <v>7.8513758444554256</v>
      </c>
      <c r="F10" s="1">
        <f>'Raw_Personal Income and Its Dis'!K3</f>
        <v>4280</v>
      </c>
      <c r="G10" s="1">
        <f>Raw_Unemployment!B10</f>
        <v>65.900000000000006</v>
      </c>
      <c r="H10" s="2">
        <f t="shared" si="9"/>
        <v>-451122</v>
      </c>
      <c r="I10" s="1">
        <f t="shared" si="10"/>
        <v>6.0179928378024155</v>
      </c>
      <c r="K10" s="2">
        <f t="shared" si="7"/>
        <v>-219790</v>
      </c>
      <c r="L10" s="1">
        <f t="shared" si="0"/>
        <v>65.900000000000006</v>
      </c>
      <c r="M10" s="1">
        <f t="shared" si="0"/>
        <v>-451122</v>
      </c>
      <c r="Y10" s="1">
        <f t="shared" si="1"/>
        <v>7.8513758444554256</v>
      </c>
      <c r="Z10" s="1">
        <f t="shared" si="2"/>
        <v>-219790</v>
      </c>
      <c r="AA10" s="1">
        <f t="shared" si="3"/>
        <v>-451122</v>
      </c>
      <c r="AD10" s="1">
        <f t="shared" si="4"/>
        <v>-219790</v>
      </c>
      <c r="AE10" s="1">
        <f t="shared" si="5"/>
        <v>5236.3999999999996</v>
      </c>
      <c r="AF10" s="1">
        <f t="shared" si="6"/>
        <v>65.900000000000006</v>
      </c>
    </row>
    <row r="11" spans="1:32" ht="15" thickBot="1" x14ac:dyDescent="0.35">
      <c r="A11" s="1">
        <v>1989</v>
      </c>
      <c r="B11" s="2">
        <f>VLOOKUP(A11,'Raw_Imigration data'!A:G, 7, FALSE)</f>
        <v>331925</v>
      </c>
      <c r="C11" s="1">
        <f>VLOOKUP(A11,'Raw_Imigration data'!A:H, 8, FALSE)</f>
        <v>132770</v>
      </c>
      <c r="D11" s="1">
        <f>'Raw_Gross Domestic Product '!K3</f>
        <v>5641.6</v>
      </c>
      <c r="E11" s="11">
        <f t="shared" si="8"/>
        <v>7.7381407073562132</v>
      </c>
      <c r="F11" s="1">
        <f>'Raw_Personal Income and Its Dis'!L3</f>
        <v>4621</v>
      </c>
      <c r="G11" s="1">
        <f>Raw_Unemployment!B11</f>
        <v>63.1</v>
      </c>
      <c r="H11" s="2">
        <f t="shared" si="9"/>
        <v>-219790</v>
      </c>
      <c r="I11" s="1">
        <f t="shared" si="10"/>
        <v>7.8513758444554256</v>
      </c>
      <c r="K11" s="2">
        <f t="shared" si="7"/>
        <v>331925</v>
      </c>
      <c r="L11" s="1">
        <f t="shared" si="0"/>
        <v>63.1</v>
      </c>
      <c r="M11" s="1">
        <f t="shared" si="0"/>
        <v>-219790</v>
      </c>
      <c r="O11" t="s">
        <v>193</v>
      </c>
      <c r="Y11" s="1">
        <f t="shared" si="1"/>
        <v>7.7381407073562132</v>
      </c>
      <c r="Z11" s="1">
        <f t="shared" si="2"/>
        <v>331925</v>
      </c>
      <c r="AA11" s="1">
        <f t="shared" si="3"/>
        <v>-219790</v>
      </c>
      <c r="AD11" s="1">
        <f t="shared" si="4"/>
        <v>331925</v>
      </c>
      <c r="AE11" s="1">
        <f t="shared" si="5"/>
        <v>5641.6</v>
      </c>
      <c r="AF11" s="1">
        <f t="shared" si="6"/>
        <v>63.1</v>
      </c>
    </row>
    <row r="12" spans="1:32" x14ac:dyDescent="0.3">
      <c r="A12" s="1">
        <v>1990</v>
      </c>
      <c r="B12" s="2">
        <f>VLOOKUP(A12,'Raw_Imigration data'!A:G, 7, FALSE)</f>
        <v>605366</v>
      </c>
      <c r="C12" s="1">
        <f>VLOOKUP(A12,'Raw_Imigration data'!A:H, 8, FALSE)</f>
        <v>242146.4</v>
      </c>
      <c r="D12" s="1">
        <f>'Raw_Gross Domestic Product '!L3</f>
        <v>5963.1</v>
      </c>
      <c r="E12" s="11">
        <f t="shared" si="8"/>
        <v>5.698737946681792</v>
      </c>
      <c r="F12" s="1">
        <f>'Raw_Personal Income and Its Dis'!M3</f>
        <v>4913.3</v>
      </c>
      <c r="G12" s="1">
        <f>Raw_Unemployment!B12</f>
        <v>67.400000000000006</v>
      </c>
      <c r="H12" s="2">
        <f t="shared" si="9"/>
        <v>331925</v>
      </c>
      <c r="I12" s="1">
        <f t="shared" si="10"/>
        <v>7.7381407073562132</v>
      </c>
      <c r="K12" s="2">
        <f t="shared" si="7"/>
        <v>605366</v>
      </c>
      <c r="L12" s="1">
        <f t="shared" si="0"/>
        <v>67.400000000000006</v>
      </c>
      <c r="M12" s="1">
        <f t="shared" si="0"/>
        <v>331925</v>
      </c>
      <c r="O12" s="13"/>
      <c r="P12" s="13" t="s">
        <v>198</v>
      </c>
      <c r="Q12" s="13" t="s">
        <v>199</v>
      </c>
      <c r="R12" s="13" t="s">
        <v>200</v>
      </c>
      <c r="S12" s="13" t="s">
        <v>201</v>
      </c>
      <c r="T12" s="13" t="s">
        <v>202</v>
      </c>
      <c r="Y12" s="1">
        <f t="shared" si="1"/>
        <v>5.698737946681792</v>
      </c>
      <c r="Z12" s="1">
        <f t="shared" si="2"/>
        <v>605366</v>
      </c>
      <c r="AA12" s="1">
        <f t="shared" si="3"/>
        <v>331925</v>
      </c>
      <c r="AD12" s="1">
        <f t="shared" si="4"/>
        <v>605366</v>
      </c>
      <c r="AE12" s="1">
        <f t="shared" si="5"/>
        <v>5963.1</v>
      </c>
      <c r="AF12" s="1">
        <f t="shared" si="6"/>
        <v>67.400000000000006</v>
      </c>
    </row>
    <row r="13" spans="1:32" x14ac:dyDescent="0.3">
      <c r="A13" s="1">
        <v>1991</v>
      </c>
      <c r="B13" s="2">
        <f>VLOOKUP(A13,'Raw_Imigration data'!A:G, 7, FALSE)</f>
        <v>845690</v>
      </c>
      <c r="C13" s="1">
        <f>VLOOKUP(A13,'Raw_Imigration data'!A:H, 8, FALSE)</f>
        <v>338276</v>
      </c>
      <c r="D13" s="1">
        <f>'Raw_Gross Domestic Product '!M3</f>
        <v>6158.1</v>
      </c>
      <c r="E13" s="11">
        <f t="shared" si="8"/>
        <v>3.2701111837802483</v>
      </c>
      <c r="F13" s="1">
        <f>'Raw_Personal Income and Its Dis'!N3</f>
        <v>5089.8999999999996</v>
      </c>
      <c r="G13" s="1">
        <f>Raw_Unemployment!B13</f>
        <v>82.2</v>
      </c>
      <c r="H13" s="2">
        <f t="shared" si="9"/>
        <v>605366</v>
      </c>
      <c r="I13" s="1">
        <f t="shared" si="10"/>
        <v>5.698737946681792</v>
      </c>
      <c r="K13" s="2">
        <f t="shared" si="7"/>
        <v>845690</v>
      </c>
      <c r="L13" s="1">
        <f t="shared" si="0"/>
        <v>82.2</v>
      </c>
      <c r="M13" s="1">
        <f t="shared" si="0"/>
        <v>605366</v>
      </c>
      <c r="O13" t="s">
        <v>194</v>
      </c>
      <c r="P13">
        <v>3</v>
      </c>
      <c r="Q13">
        <v>339.94177748397738</v>
      </c>
      <c r="R13">
        <v>113.31392582799246</v>
      </c>
      <c r="S13">
        <v>2.8092784844188996</v>
      </c>
      <c r="T13">
        <v>5.5187725947779522E-2</v>
      </c>
      <c r="Y13" s="1">
        <f t="shared" si="1"/>
        <v>3.2701111837802483</v>
      </c>
      <c r="Z13" s="1">
        <f t="shared" si="2"/>
        <v>845690</v>
      </c>
      <c r="AA13" s="1">
        <f t="shared" si="3"/>
        <v>605366</v>
      </c>
      <c r="AD13" s="1">
        <f t="shared" si="4"/>
        <v>845690</v>
      </c>
      <c r="AE13" s="1">
        <f t="shared" si="5"/>
        <v>6158.1</v>
      </c>
      <c r="AF13" s="1">
        <f t="shared" si="6"/>
        <v>82.2</v>
      </c>
    </row>
    <row r="14" spans="1:32" x14ac:dyDescent="0.3">
      <c r="A14" s="1">
        <v>1992</v>
      </c>
      <c r="B14" s="2">
        <f>VLOOKUP(A14,'Raw_Imigration data'!A:G, 7, FALSE)</f>
        <v>-60507</v>
      </c>
      <c r="C14" s="1">
        <f>VLOOKUP(A14,'Raw_Imigration data'!A:H, 8, FALSE)</f>
        <v>-24202.799999999999</v>
      </c>
      <c r="D14" s="1">
        <f>'Raw_Gross Domestic Product '!N3</f>
        <v>6520.3</v>
      </c>
      <c r="E14" s="11">
        <f t="shared" si="8"/>
        <v>5.8816842857374807</v>
      </c>
      <c r="F14" s="1">
        <f>'Raw_Personal Income and Its Dis'!O3</f>
        <v>5417.5</v>
      </c>
      <c r="G14" s="1">
        <f>Raw_Unemployment!B14</f>
        <v>89.9</v>
      </c>
      <c r="H14" s="2">
        <f t="shared" si="9"/>
        <v>845690</v>
      </c>
      <c r="I14" s="1">
        <f t="shared" si="10"/>
        <v>3.2701111837802483</v>
      </c>
      <c r="K14" s="2">
        <f t="shared" si="7"/>
        <v>-60507</v>
      </c>
      <c r="L14" s="1">
        <f t="shared" si="0"/>
        <v>89.9</v>
      </c>
      <c r="M14" s="1">
        <f t="shared" si="0"/>
        <v>845690</v>
      </c>
      <c r="O14" t="s">
        <v>195</v>
      </c>
      <c r="P14">
        <v>32</v>
      </c>
      <c r="Q14">
        <v>1290.7391156152353</v>
      </c>
      <c r="R14">
        <v>40.335597362976102</v>
      </c>
      <c r="Y14" s="1">
        <f t="shared" si="1"/>
        <v>5.8816842857374807</v>
      </c>
      <c r="Z14" s="1">
        <f t="shared" si="2"/>
        <v>-60507</v>
      </c>
      <c r="AA14" s="1">
        <f t="shared" si="3"/>
        <v>845690</v>
      </c>
      <c r="AD14" s="1">
        <f t="shared" si="4"/>
        <v>-60507</v>
      </c>
      <c r="AE14" s="1">
        <f t="shared" si="5"/>
        <v>6520.3</v>
      </c>
      <c r="AF14" s="1">
        <f t="shared" si="6"/>
        <v>89.9</v>
      </c>
    </row>
    <row r="15" spans="1:32" ht="15" thickBot="1" x14ac:dyDescent="0.35">
      <c r="A15" s="1">
        <v>1993</v>
      </c>
      <c r="B15" s="2">
        <f>VLOOKUP(A15,'Raw_Imigration data'!A:G, 7, FALSE)</f>
        <v>-267855</v>
      </c>
      <c r="C15" s="1">
        <f>VLOOKUP(A15,'Raw_Imigration data'!A:H, 8, FALSE)</f>
        <v>-107142</v>
      </c>
      <c r="D15" s="1">
        <f>'Raw_Gross Domestic Product '!O3</f>
        <v>6858.6</v>
      </c>
      <c r="E15" s="11">
        <f t="shared" si="8"/>
        <v>5.1884115761544738</v>
      </c>
      <c r="F15" s="1">
        <f>'Raw_Personal Income and Its Dis'!P3</f>
        <v>5652.9</v>
      </c>
      <c r="G15" s="1">
        <f>Raw_Unemployment!B15</f>
        <v>82.9</v>
      </c>
      <c r="H15" s="2">
        <f t="shared" si="9"/>
        <v>-60507</v>
      </c>
      <c r="I15" s="1">
        <f t="shared" si="10"/>
        <v>5.8816842857374807</v>
      </c>
      <c r="K15" s="2">
        <f t="shared" si="7"/>
        <v>-267855</v>
      </c>
      <c r="L15" s="1">
        <f t="shared" si="0"/>
        <v>82.9</v>
      </c>
      <c r="M15" s="1">
        <f t="shared" si="0"/>
        <v>-60507</v>
      </c>
      <c r="O15" s="12" t="s">
        <v>196</v>
      </c>
      <c r="P15" s="12">
        <v>35</v>
      </c>
      <c r="Q15" s="12">
        <v>1630.6808930992127</v>
      </c>
      <c r="R15" s="12"/>
      <c r="S15" s="12"/>
      <c r="T15" s="12"/>
      <c r="Y15" s="1">
        <f t="shared" si="1"/>
        <v>5.1884115761544738</v>
      </c>
      <c r="Z15" s="1">
        <f t="shared" si="2"/>
        <v>-267855</v>
      </c>
      <c r="AA15" s="1">
        <f t="shared" si="3"/>
        <v>-60507</v>
      </c>
      <c r="AD15" s="1">
        <f t="shared" si="4"/>
        <v>-267855</v>
      </c>
      <c r="AE15" s="1">
        <f t="shared" si="5"/>
        <v>6858.6</v>
      </c>
      <c r="AF15" s="1">
        <f t="shared" si="6"/>
        <v>82.9</v>
      </c>
    </row>
    <row r="16" spans="1:32" ht="15" thickBot="1" x14ac:dyDescent="0.35">
      <c r="A16" s="1">
        <v>1994</v>
      </c>
      <c r="B16" s="2">
        <f>VLOOKUP(A16,'Raw_Imigration data'!A:G, 7, FALSE)</f>
        <v>-159108</v>
      </c>
      <c r="C16" s="1">
        <f>VLOOKUP(A16,'Raw_Imigration data'!A:H, 8, FALSE)</f>
        <v>-63643.199999999997</v>
      </c>
      <c r="D16" s="1">
        <f>'Raw_Gross Domestic Product '!P3</f>
        <v>7287.2</v>
      </c>
      <c r="E16" s="11">
        <f t="shared" si="8"/>
        <v>6.249088735310405</v>
      </c>
      <c r="F16" s="1">
        <f>'Raw_Personal Income and Its Dis'!Q3</f>
        <v>5940.9</v>
      </c>
      <c r="G16" s="1">
        <f>Raw_Unemployment!B16</f>
        <v>73.2</v>
      </c>
      <c r="H16" s="2">
        <f t="shared" si="9"/>
        <v>-267855</v>
      </c>
      <c r="I16" s="1">
        <f t="shared" si="10"/>
        <v>5.1884115761544738</v>
      </c>
      <c r="K16" s="2">
        <f t="shared" si="7"/>
        <v>-159108</v>
      </c>
      <c r="L16" s="1">
        <f t="shared" si="0"/>
        <v>73.2</v>
      </c>
      <c r="M16" s="1">
        <f t="shared" si="0"/>
        <v>-267855</v>
      </c>
      <c r="Y16" s="1">
        <f t="shared" si="1"/>
        <v>6.249088735310405</v>
      </c>
      <c r="Z16" s="1">
        <f t="shared" si="2"/>
        <v>-159108</v>
      </c>
      <c r="AA16" s="1">
        <f t="shared" si="3"/>
        <v>-267855</v>
      </c>
      <c r="AD16" s="1">
        <f t="shared" si="4"/>
        <v>-159108</v>
      </c>
      <c r="AE16" s="1">
        <f t="shared" si="5"/>
        <v>7287.2</v>
      </c>
      <c r="AF16" s="1">
        <f t="shared" si="6"/>
        <v>73.2</v>
      </c>
    </row>
    <row r="17" spans="1:32" x14ac:dyDescent="0.3">
      <c r="A17" s="1">
        <v>1995</v>
      </c>
      <c r="B17" s="2">
        <f>VLOOKUP(A17,'Raw_Imigration data'!A:G, 7, FALSE)</f>
        <v>-545538</v>
      </c>
      <c r="C17" s="1">
        <f>VLOOKUP(A17,'Raw_Imigration data'!A:H, 8, FALSE)</f>
        <v>-218215.19999999998</v>
      </c>
      <c r="D17" s="1">
        <f>'Raw_Gross Domestic Product '!Q3</f>
        <v>7639.7</v>
      </c>
      <c r="E17" s="11">
        <f t="shared" si="8"/>
        <v>4.8372488747392683</v>
      </c>
      <c r="F17" s="1">
        <f>'Raw_Personal Income and Its Dis'!R3</f>
        <v>6283.4</v>
      </c>
      <c r="G17" s="1">
        <f>Raw_Unemployment!B17</f>
        <v>67.099999999999994</v>
      </c>
      <c r="H17" s="2">
        <f t="shared" si="9"/>
        <v>-159108</v>
      </c>
      <c r="I17" s="1">
        <f t="shared" si="10"/>
        <v>6.249088735310405</v>
      </c>
      <c r="K17" s="2">
        <f t="shared" si="7"/>
        <v>-545538</v>
      </c>
      <c r="L17" s="1">
        <f t="shared" si="0"/>
        <v>67.099999999999994</v>
      </c>
      <c r="M17" s="1">
        <f t="shared" si="0"/>
        <v>-159108</v>
      </c>
      <c r="O17" s="13"/>
      <c r="P17" s="13" t="s">
        <v>203</v>
      </c>
      <c r="Q17" s="13" t="s">
        <v>191</v>
      </c>
      <c r="R17" s="13" t="s">
        <v>204</v>
      </c>
      <c r="S17" s="13" t="s">
        <v>205</v>
      </c>
      <c r="T17" s="13" t="s">
        <v>206</v>
      </c>
      <c r="U17" s="13" t="s">
        <v>207</v>
      </c>
      <c r="V17" s="13" t="s">
        <v>208</v>
      </c>
      <c r="W17" s="13" t="s">
        <v>209</v>
      </c>
      <c r="Y17" s="1">
        <f t="shared" si="1"/>
        <v>4.8372488747392683</v>
      </c>
      <c r="Z17" s="1">
        <f t="shared" si="2"/>
        <v>-545538</v>
      </c>
      <c r="AA17" s="1">
        <f t="shared" si="3"/>
        <v>-159108</v>
      </c>
      <c r="AD17" s="1">
        <f t="shared" si="4"/>
        <v>-545538</v>
      </c>
      <c r="AE17" s="1">
        <f t="shared" si="5"/>
        <v>7639.7</v>
      </c>
      <c r="AF17" s="1">
        <f t="shared" si="6"/>
        <v>67.099999999999994</v>
      </c>
    </row>
    <row r="18" spans="1:32" x14ac:dyDescent="0.3">
      <c r="A18" s="1">
        <v>1996</v>
      </c>
      <c r="B18" s="2">
        <f>VLOOKUP(A18,'Raw_Imigration data'!A:G, 7, FALSE)</f>
        <v>-652127</v>
      </c>
      <c r="C18" s="1">
        <f>VLOOKUP(A18,'Raw_Imigration data'!A:H, 8, FALSE)</f>
        <v>-260850.80000000002</v>
      </c>
      <c r="D18" s="1">
        <f>'Raw_Gross Domestic Product '!R3</f>
        <v>8073.1</v>
      </c>
      <c r="E18" s="11">
        <f t="shared" si="8"/>
        <v>5.6729976307970285</v>
      </c>
      <c r="F18" s="1">
        <f>'Raw_Personal Income and Its Dis'!S3</f>
        <v>6666.2</v>
      </c>
      <c r="G18" s="1">
        <f>Raw_Unemployment!B18</f>
        <v>64.900000000000006</v>
      </c>
      <c r="H18" s="2">
        <f t="shared" si="9"/>
        <v>-545538</v>
      </c>
      <c r="I18" s="1">
        <f t="shared" si="10"/>
        <v>4.8372488747392683</v>
      </c>
      <c r="K18" s="2">
        <f t="shared" si="7"/>
        <v>-652127</v>
      </c>
      <c r="L18" s="1">
        <f t="shared" si="0"/>
        <v>64.900000000000006</v>
      </c>
      <c r="M18" s="1">
        <f t="shared" si="0"/>
        <v>-545538</v>
      </c>
      <c r="O18" t="s">
        <v>197</v>
      </c>
      <c r="P18">
        <v>-4.3144371514694955</v>
      </c>
      <c r="Q18">
        <v>4.9093933449759666</v>
      </c>
      <c r="R18">
        <v>-0.8788126858656945</v>
      </c>
      <c r="S18">
        <v>0.38605437386088459</v>
      </c>
      <c r="T18">
        <v>-14.314544152012161</v>
      </c>
      <c r="U18">
        <v>5.685669849073169</v>
      </c>
      <c r="V18">
        <v>-14.314544152012161</v>
      </c>
      <c r="W18">
        <v>5.685669849073169</v>
      </c>
      <c r="Y18" s="1">
        <f t="shared" si="1"/>
        <v>5.6729976307970285</v>
      </c>
      <c r="Z18" s="1">
        <f t="shared" si="2"/>
        <v>-652127</v>
      </c>
      <c r="AA18" s="1">
        <f t="shared" si="3"/>
        <v>-545538</v>
      </c>
      <c r="AD18" s="1">
        <f t="shared" si="4"/>
        <v>-652127</v>
      </c>
      <c r="AE18" s="1">
        <f t="shared" si="5"/>
        <v>8073.1</v>
      </c>
      <c r="AF18" s="1">
        <f t="shared" si="6"/>
        <v>64.900000000000006</v>
      </c>
    </row>
    <row r="19" spans="1:32" x14ac:dyDescent="0.3">
      <c r="A19" s="1">
        <v>1997</v>
      </c>
      <c r="B19" s="2">
        <f>VLOOKUP(A19,'Raw_Imigration data'!A:G, 7, FALSE)</f>
        <v>-687616</v>
      </c>
      <c r="C19" s="1">
        <f>VLOOKUP(A19,'Raw_Imigration data'!A:H, 8, FALSE)</f>
        <v>-275046.40000000002</v>
      </c>
      <c r="D19" s="1">
        <f>'Raw_Gross Domestic Product '!S3</f>
        <v>8577.6</v>
      </c>
      <c r="E19" s="11">
        <f t="shared" si="8"/>
        <v>6.2491484064361895</v>
      </c>
      <c r="F19" s="1">
        <f>'Raw_Personal Income and Its Dis'!T3</f>
        <v>7074</v>
      </c>
      <c r="G19" s="1">
        <f>Raw_Unemployment!B19</f>
        <v>59.3</v>
      </c>
      <c r="H19" s="2">
        <f t="shared" si="9"/>
        <v>-652127</v>
      </c>
      <c r="I19" s="1">
        <f t="shared" si="10"/>
        <v>5.6729976307970285</v>
      </c>
      <c r="K19" s="2">
        <f t="shared" si="7"/>
        <v>-687616</v>
      </c>
      <c r="L19" s="1">
        <f t="shared" si="0"/>
        <v>59.3</v>
      </c>
      <c r="M19" s="1">
        <f t="shared" si="0"/>
        <v>-652127</v>
      </c>
      <c r="O19" t="s">
        <v>166</v>
      </c>
      <c r="P19">
        <v>-2.4616383772250275E-6</v>
      </c>
      <c r="Q19">
        <v>3.8442701821816465E-6</v>
      </c>
      <c r="R19">
        <v>-0.64033958607665631</v>
      </c>
      <c r="S19">
        <v>0.52651081141744893</v>
      </c>
      <c r="T19">
        <v>-1.0292160492580261E-5</v>
      </c>
      <c r="U19">
        <v>5.3688837381302047E-6</v>
      </c>
      <c r="V19">
        <v>-1.0292160492580261E-5</v>
      </c>
      <c r="W19">
        <v>5.3688837381302047E-6</v>
      </c>
      <c r="Y19" s="1">
        <f t="shared" si="1"/>
        <v>6.2491484064361895</v>
      </c>
      <c r="Z19" s="1">
        <f t="shared" si="2"/>
        <v>-687616</v>
      </c>
      <c r="AA19" s="1">
        <f t="shared" si="3"/>
        <v>-652127</v>
      </c>
      <c r="AD19" s="1">
        <f t="shared" si="4"/>
        <v>-687616</v>
      </c>
      <c r="AE19" s="1">
        <f t="shared" si="5"/>
        <v>8577.6</v>
      </c>
      <c r="AF19" s="1">
        <f t="shared" si="6"/>
        <v>59.3</v>
      </c>
    </row>
    <row r="20" spans="1:32" x14ac:dyDescent="0.3">
      <c r="A20" s="1">
        <v>1998</v>
      </c>
      <c r="B20" s="2">
        <f>VLOOKUP(A20,'Raw_Imigration data'!A:G, 7, FALSE)</f>
        <v>-1015022</v>
      </c>
      <c r="C20" s="1">
        <f>VLOOKUP(A20,'Raw_Imigration data'!A:H, 8, FALSE)</f>
        <v>-406008.80000000005</v>
      </c>
      <c r="D20" s="1">
        <f>'Raw_Gross Domestic Product '!T3</f>
        <v>9062.7999999999993</v>
      </c>
      <c r="E20" s="11">
        <f t="shared" si="8"/>
        <v>5.6565939190449415</v>
      </c>
      <c r="F20" s="1">
        <f>'Raw_Personal Income and Its Dis'!U3</f>
        <v>7588.4</v>
      </c>
      <c r="G20" s="1">
        <f>Raw_Unemployment!B20</f>
        <v>54</v>
      </c>
      <c r="H20" s="2">
        <f t="shared" si="9"/>
        <v>-687616</v>
      </c>
      <c r="I20" s="1">
        <f t="shared" si="10"/>
        <v>6.2491484064361895</v>
      </c>
      <c r="K20" s="2">
        <f t="shared" si="7"/>
        <v>-1015022</v>
      </c>
      <c r="L20" s="1">
        <f t="shared" si="0"/>
        <v>54</v>
      </c>
      <c r="M20" s="1">
        <f t="shared" si="0"/>
        <v>-687616</v>
      </c>
      <c r="O20" t="s">
        <v>173</v>
      </c>
      <c r="P20">
        <v>0.10181284298629376</v>
      </c>
      <c r="Q20">
        <v>6.0788739344084852E-2</v>
      </c>
      <c r="R20">
        <v>1.6748635369784293</v>
      </c>
      <c r="S20">
        <v>0.10370822136676104</v>
      </c>
      <c r="T20">
        <v>-2.2009767090577601E-2</v>
      </c>
      <c r="U20">
        <v>0.22563545306316513</v>
      </c>
      <c r="V20">
        <v>-2.2009767090577601E-2</v>
      </c>
      <c r="W20">
        <v>0.22563545306316513</v>
      </c>
      <c r="Y20" s="1">
        <f t="shared" si="1"/>
        <v>5.6565939190449415</v>
      </c>
      <c r="Z20" s="1">
        <f t="shared" si="2"/>
        <v>-1015022</v>
      </c>
      <c r="AA20" s="1">
        <f t="shared" si="3"/>
        <v>-687616</v>
      </c>
      <c r="AD20" s="1">
        <f t="shared" si="4"/>
        <v>-1015022</v>
      </c>
      <c r="AE20" s="1">
        <f t="shared" si="5"/>
        <v>9062.7999999999993</v>
      </c>
      <c r="AF20" s="1">
        <f t="shared" si="6"/>
        <v>54</v>
      </c>
    </row>
    <row r="21" spans="1:32" ht="15" thickBot="1" x14ac:dyDescent="0.35">
      <c r="A21" s="1">
        <v>1999</v>
      </c>
      <c r="B21" s="2">
        <f>VLOOKUP(A21,'Raw_Imigration data'!A:G, 7, FALSE)</f>
        <v>-1027905</v>
      </c>
      <c r="C21" s="1">
        <f>VLOOKUP(A21,'Raw_Imigration data'!A:H, 8, FALSE)</f>
        <v>-411162</v>
      </c>
      <c r="D21" s="1">
        <f>'Raw_Gross Domestic Product '!U3</f>
        <v>9631.2000000000007</v>
      </c>
      <c r="E21" s="11">
        <f t="shared" si="8"/>
        <v>6.2717923820453008</v>
      </c>
      <c r="F21" s="1">
        <f>'Raw_Personal Income and Its Dis'!V3</f>
        <v>7978.6</v>
      </c>
      <c r="G21" s="1">
        <f>Raw_Unemployment!B21</f>
        <v>50.6</v>
      </c>
      <c r="H21" s="2">
        <f t="shared" si="9"/>
        <v>-1015022</v>
      </c>
      <c r="I21" s="1">
        <f t="shared" si="10"/>
        <v>5.6565939190449415</v>
      </c>
      <c r="K21" s="2">
        <f t="shared" si="7"/>
        <v>-1027905</v>
      </c>
      <c r="L21" s="1">
        <f t="shared" si="0"/>
        <v>50.6</v>
      </c>
      <c r="M21" s="1">
        <f t="shared" si="0"/>
        <v>-1015022</v>
      </c>
      <c r="O21" s="12" t="s">
        <v>218</v>
      </c>
      <c r="P21" s="12">
        <v>-4.4932102164207198E-6</v>
      </c>
      <c r="Q21" s="12">
        <v>4.1835744960556957E-6</v>
      </c>
      <c r="R21" s="12">
        <v>-1.074012240168533</v>
      </c>
      <c r="S21" s="12">
        <v>0.29084946411441526</v>
      </c>
      <c r="T21" s="12">
        <v>-1.3014872602285855E-5</v>
      </c>
      <c r="U21" s="12">
        <v>4.0284521694444154E-6</v>
      </c>
      <c r="V21" s="12">
        <v>-1.3014872602285855E-5</v>
      </c>
      <c r="W21" s="12">
        <v>4.0284521694444154E-6</v>
      </c>
      <c r="Y21" s="1">
        <f t="shared" si="1"/>
        <v>6.2717923820453008</v>
      </c>
      <c r="Z21" s="1">
        <f t="shared" si="2"/>
        <v>-1027905</v>
      </c>
      <c r="AA21" s="1">
        <f t="shared" si="3"/>
        <v>-1015022</v>
      </c>
      <c r="AD21" s="1">
        <f t="shared" si="4"/>
        <v>-1027905</v>
      </c>
      <c r="AE21" s="1">
        <f t="shared" si="5"/>
        <v>9631.2000000000007</v>
      </c>
      <c r="AF21" s="1">
        <f t="shared" si="6"/>
        <v>50.6</v>
      </c>
    </row>
    <row r="22" spans="1:32" x14ac:dyDescent="0.3">
      <c r="A22" s="1">
        <v>2000</v>
      </c>
      <c r="B22" s="2">
        <f>VLOOKUP(A22,'Raw_Imigration data'!A:G, 7, FALSE)</f>
        <v>-951176</v>
      </c>
      <c r="C22" s="1">
        <f>VLOOKUP(A22,'Raw_Imigration data'!A:H, 8, FALSE)</f>
        <v>-380470.4</v>
      </c>
      <c r="D22" s="1">
        <f>'Raw_Gross Domestic Product '!V3</f>
        <v>10251</v>
      </c>
      <c r="E22" s="11">
        <f t="shared" si="8"/>
        <v>6.435335160727627</v>
      </c>
      <c r="F22" s="1">
        <f>'Raw_Personal Income and Its Dis'!W3</f>
        <v>8621.2999999999993</v>
      </c>
      <c r="G22" s="1">
        <f>Raw_Unemployment!B22</f>
        <v>47.6</v>
      </c>
      <c r="H22" s="2">
        <f t="shared" si="9"/>
        <v>-1027905</v>
      </c>
      <c r="I22" s="1">
        <f t="shared" si="10"/>
        <v>6.2717923820453008</v>
      </c>
      <c r="K22" s="2">
        <f t="shared" si="7"/>
        <v>-951176</v>
      </c>
      <c r="L22" s="1">
        <f t="shared" si="0"/>
        <v>47.6</v>
      </c>
      <c r="M22" s="1">
        <f t="shared" si="0"/>
        <v>-1027905</v>
      </c>
      <c r="Y22" s="1">
        <f t="shared" si="1"/>
        <v>6.435335160727627</v>
      </c>
      <c r="Z22" s="1">
        <f t="shared" si="2"/>
        <v>-951176</v>
      </c>
      <c r="AA22" s="1">
        <f t="shared" si="3"/>
        <v>-1027905</v>
      </c>
      <c r="AD22" s="1">
        <f t="shared" si="4"/>
        <v>-951176</v>
      </c>
      <c r="AE22" s="1">
        <f t="shared" si="5"/>
        <v>10251</v>
      </c>
      <c r="AF22" s="1">
        <f t="shared" si="6"/>
        <v>47.6</v>
      </c>
    </row>
    <row r="23" spans="1:32" x14ac:dyDescent="0.3">
      <c r="A23" s="1">
        <v>2001</v>
      </c>
      <c r="B23" s="2">
        <f>VLOOKUP(A23,'Raw_Imigration data'!A:G, 7, FALSE)</f>
        <v>-410575</v>
      </c>
      <c r="C23" s="1">
        <f>VLOOKUP(A23,'Raw_Imigration data'!A:H, 8, FALSE)</f>
        <v>-164230</v>
      </c>
      <c r="D23" s="1">
        <f>'Raw_Gross Domestic Product '!W3</f>
        <v>10581.9</v>
      </c>
      <c r="E23" s="11">
        <f t="shared" si="8"/>
        <v>3.2279777582674827</v>
      </c>
      <c r="F23" s="1">
        <f>'Raw_Personal Income and Its Dis'!X3</f>
        <v>8993.1</v>
      </c>
      <c r="G23" s="1">
        <f>Raw_Unemployment!B23</f>
        <v>56.9</v>
      </c>
      <c r="H23" s="2">
        <f t="shared" si="9"/>
        <v>-951176</v>
      </c>
      <c r="I23" s="1">
        <f t="shared" si="10"/>
        <v>6.435335160727627</v>
      </c>
      <c r="K23" s="2">
        <f t="shared" si="7"/>
        <v>-410575</v>
      </c>
      <c r="L23" s="1">
        <f t="shared" si="0"/>
        <v>56.9</v>
      </c>
      <c r="M23" s="1">
        <f t="shared" si="0"/>
        <v>-951176</v>
      </c>
      <c r="Y23" s="1">
        <f t="shared" si="1"/>
        <v>3.2279777582674827</v>
      </c>
      <c r="Z23" s="1">
        <f t="shared" si="2"/>
        <v>-410575</v>
      </c>
      <c r="AA23" s="1">
        <f t="shared" si="3"/>
        <v>-951176</v>
      </c>
      <c r="AD23" s="1">
        <f t="shared" si="4"/>
        <v>-410575</v>
      </c>
      <c r="AE23" s="1">
        <f t="shared" si="5"/>
        <v>10581.9</v>
      </c>
      <c r="AF23" s="1">
        <f t="shared" si="6"/>
        <v>56.9</v>
      </c>
    </row>
    <row r="24" spans="1:32" x14ac:dyDescent="0.3">
      <c r="A24" s="1">
        <v>2002</v>
      </c>
      <c r="B24" s="2">
        <f>VLOOKUP(A24,'Raw_Imigration data'!A:G, 7, FALSE)</f>
        <v>-91143</v>
      </c>
      <c r="C24" s="1">
        <f>VLOOKUP(A24,'Raw_Imigration data'!A:H, 8, FALSE)</f>
        <v>-36457.199999999997</v>
      </c>
      <c r="D24" s="1">
        <f>'Raw_Gross Domestic Product '!X3</f>
        <v>10929.1</v>
      </c>
      <c r="E24" s="11">
        <f t="shared" si="8"/>
        <v>3.2810742872263083</v>
      </c>
      <c r="F24" s="1">
        <f>'Raw_Personal Income and Its Dis'!Y3</f>
        <v>9150</v>
      </c>
      <c r="G24" s="1">
        <f>Raw_Unemployment!B24</f>
        <v>69.400000000000006</v>
      </c>
      <c r="H24" s="2">
        <f t="shared" si="9"/>
        <v>-410575</v>
      </c>
      <c r="I24" s="1">
        <f t="shared" si="10"/>
        <v>3.2279777582674827</v>
      </c>
      <c r="K24" s="2">
        <f t="shared" si="7"/>
        <v>-91143</v>
      </c>
      <c r="L24" s="1">
        <f t="shared" si="0"/>
        <v>69.400000000000006</v>
      </c>
      <c r="M24" s="1">
        <f t="shared" si="0"/>
        <v>-410575</v>
      </c>
      <c r="Y24" s="1">
        <f t="shared" si="1"/>
        <v>3.2810742872263083</v>
      </c>
      <c r="Z24" s="1">
        <f t="shared" si="2"/>
        <v>-91143</v>
      </c>
      <c r="AA24" s="1">
        <f t="shared" si="3"/>
        <v>-410575</v>
      </c>
      <c r="AD24" s="1">
        <f t="shared" si="4"/>
        <v>-91143</v>
      </c>
      <c r="AE24" s="1">
        <f t="shared" si="5"/>
        <v>10929.1</v>
      </c>
      <c r="AF24" s="1">
        <f t="shared" si="6"/>
        <v>69.400000000000006</v>
      </c>
    </row>
    <row r="25" spans="1:32" x14ac:dyDescent="0.3">
      <c r="A25" s="1">
        <v>2003</v>
      </c>
      <c r="B25" s="2">
        <f>VLOOKUP(A25,'Raw_Imigration data'!A:G, 7, FALSE)</f>
        <v>-424564</v>
      </c>
      <c r="C25" s="1">
        <f>VLOOKUP(A25,'Raw_Imigration data'!A:H, 8, FALSE)</f>
        <v>-169825.6</v>
      </c>
      <c r="D25" s="1">
        <f>'Raw_Gross Domestic Product '!Y3</f>
        <v>11456.5</v>
      </c>
      <c r="E25" s="11">
        <f t="shared" si="8"/>
        <v>4.8256489555407089</v>
      </c>
      <c r="F25" s="1">
        <f>'Raw_Personal Income and Its Dis'!Z3</f>
        <v>9481.7999999999993</v>
      </c>
      <c r="G25" s="1">
        <f>Raw_Unemployment!B25</f>
        <v>71.900000000000006</v>
      </c>
      <c r="H25" s="2">
        <f t="shared" si="9"/>
        <v>-91143</v>
      </c>
      <c r="I25" s="1">
        <f t="shared" si="10"/>
        <v>3.2810742872263083</v>
      </c>
      <c r="K25" s="2">
        <f t="shared" si="7"/>
        <v>-424564</v>
      </c>
      <c r="L25" s="1">
        <f t="shared" si="0"/>
        <v>71.900000000000006</v>
      </c>
      <c r="M25" s="1">
        <f t="shared" si="0"/>
        <v>-91143</v>
      </c>
      <c r="O25" t="s">
        <v>186</v>
      </c>
      <c r="P25" s="10" t="s">
        <v>229</v>
      </c>
      <c r="Y25" s="1">
        <f t="shared" si="1"/>
        <v>4.8256489555407089</v>
      </c>
      <c r="Z25" s="1">
        <f t="shared" si="2"/>
        <v>-424564</v>
      </c>
      <c r="AA25" s="1">
        <f t="shared" si="3"/>
        <v>-91143</v>
      </c>
      <c r="AD25" s="1">
        <f t="shared" si="4"/>
        <v>-424564</v>
      </c>
      <c r="AE25" s="1">
        <f t="shared" si="5"/>
        <v>11456.5</v>
      </c>
      <c r="AF25" s="1">
        <f t="shared" si="6"/>
        <v>71.900000000000006</v>
      </c>
    </row>
    <row r="26" spans="1:32" ht="15" thickBot="1" x14ac:dyDescent="0.35">
      <c r="A26" s="1">
        <v>2004</v>
      </c>
      <c r="B26" s="2">
        <f>VLOOKUP(A26,'Raw_Imigration data'!A:G, 7, FALSE)</f>
        <v>-396518</v>
      </c>
      <c r="C26" s="1">
        <f>VLOOKUP(A26,'Raw_Imigration data'!A:H, 8, FALSE)</f>
        <v>-158607.19999999998</v>
      </c>
      <c r="D26" s="1">
        <f>'Raw_Gross Domestic Product '!Z3</f>
        <v>12217.2</v>
      </c>
      <c r="E26" s="11">
        <f t="shared" si="8"/>
        <v>6.6398987474359599</v>
      </c>
      <c r="F26" s="1">
        <f>'Raw_Personal Income and Its Dis'!AA3</f>
        <v>10015.9</v>
      </c>
      <c r="G26" s="1">
        <f>Raw_Unemployment!B26</f>
        <v>66.5</v>
      </c>
      <c r="H26" s="2">
        <f t="shared" si="9"/>
        <v>-424564</v>
      </c>
      <c r="I26" s="1">
        <f t="shared" si="10"/>
        <v>4.8256489555407089</v>
      </c>
      <c r="K26" s="2">
        <f t="shared" si="7"/>
        <v>-396518</v>
      </c>
      <c r="L26" s="1">
        <f t="shared" si="0"/>
        <v>66.5</v>
      </c>
      <c r="M26" s="1">
        <f t="shared" si="0"/>
        <v>-424564</v>
      </c>
      <c r="Y26" s="1">
        <f t="shared" si="1"/>
        <v>6.6398987474359599</v>
      </c>
      <c r="Z26" s="1">
        <f t="shared" si="2"/>
        <v>-396518</v>
      </c>
      <c r="AA26" s="1">
        <f t="shared" si="3"/>
        <v>-424564</v>
      </c>
      <c r="AD26" s="1">
        <f t="shared" si="4"/>
        <v>-396518</v>
      </c>
      <c r="AE26" s="1">
        <f t="shared" si="5"/>
        <v>12217.2</v>
      </c>
      <c r="AF26" s="1">
        <f t="shared" si="6"/>
        <v>66.5</v>
      </c>
    </row>
    <row r="27" spans="1:32" x14ac:dyDescent="0.3">
      <c r="A27" s="1">
        <v>2005</v>
      </c>
      <c r="B27" s="2">
        <f>VLOOKUP(A27,'Raw_Imigration data'!A:G, 7, FALSE)</f>
        <v>-167356</v>
      </c>
      <c r="C27" s="1">
        <f>VLOOKUP(A27,'Raw_Imigration data'!A:H, 8, FALSE)</f>
        <v>-66942.400000000009</v>
      </c>
      <c r="D27" s="1">
        <f>'Raw_Gross Domestic Product '!AA3</f>
        <v>13039.2</v>
      </c>
      <c r="E27" s="11">
        <f t="shared" si="8"/>
        <v>6.7282192319025631</v>
      </c>
      <c r="F27" s="1">
        <f>'Raw_Personal Income and Its Dis'!AB3</f>
        <v>10546.1</v>
      </c>
      <c r="G27" s="1">
        <f>Raw_Unemployment!B27</f>
        <v>61</v>
      </c>
      <c r="H27" s="2">
        <f t="shared" si="9"/>
        <v>-396518</v>
      </c>
      <c r="I27" s="1">
        <f t="shared" si="10"/>
        <v>6.6398987474359599</v>
      </c>
      <c r="K27" s="2">
        <f t="shared" si="7"/>
        <v>-167356</v>
      </c>
      <c r="L27" s="1">
        <f t="shared" si="0"/>
        <v>61</v>
      </c>
      <c r="M27" s="1">
        <f t="shared" si="0"/>
        <v>-396518</v>
      </c>
      <c r="O27" s="14" t="s">
        <v>187</v>
      </c>
      <c r="P27" s="14"/>
      <c r="Y27" s="1">
        <f t="shared" si="1"/>
        <v>6.7282192319025631</v>
      </c>
      <c r="Z27" s="1">
        <f t="shared" si="2"/>
        <v>-167356</v>
      </c>
      <c r="AA27" s="1">
        <f t="shared" si="3"/>
        <v>-396518</v>
      </c>
      <c r="AD27" s="1">
        <f t="shared" si="4"/>
        <v>-167356</v>
      </c>
      <c r="AE27" s="1">
        <f t="shared" si="5"/>
        <v>13039.2</v>
      </c>
      <c r="AF27" s="1">
        <f t="shared" si="6"/>
        <v>61</v>
      </c>
    </row>
    <row r="28" spans="1:32" x14ac:dyDescent="0.3">
      <c r="A28" s="1">
        <v>2006</v>
      </c>
      <c r="B28" s="2">
        <f>VLOOKUP(A28,'Raw_Imigration data'!A:G, 7, FALSE)</f>
        <v>-17132</v>
      </c>
      <c r="C28" s="1">
        <f>VLOOKUP(A28,'Raw_Imigration data'!A:H, 8, FALSE)</f>
        <v>-6852.8</v>
      </c>
      <c r="D28" s="1">
        <f>'Raw_Gross Domestic Product '!AB3</f>
        <v>13815.6</v>
      </c>
      <c r="E28" s="11">
        <f t="shared" si="8"/>
        <v>5.9543530277931129</v>
      </c>
      <c r="F28" s="1">
        <f>'Raw_Personal Income and Its Dis'!AC3</f>
        <v>11302</v>
      </c>
      <c r="G28" s="1">
        <f>Raw_Unemployment!B28</f>
        <v>55.3</v>
      </c>
      <c r="H28" s="2">
        <f t="shared" si="9"/>
        <v>-167356</v>
      </c>
      <c r="I28" s="1">
        <f t="shared" si="10"/>
        <v>6.7282192319025631</v>
      </c>
      <c r="K28" s="2">
        <f t="shared" si="7"/>
        <v>-17132</v>
      </c>
      <c r="L28" s="1">
        <f t="shared" si="0"/>
        <v>55.3</v>
      </c>
      <c r="M28" s="1">
        <f t="shared" si="0"/>
        <v>-167356</v>
      </c>
      <c r="O28" t="s">
        <v>188</v>
      </c>
      <c r="P28">
        <v>0.49275108523400335</v>
      </c>
      <c r="Y28" s="1">
        <f t="shared" si="1"/>
        <v>5.9543530277931129</v>
      </c>
      <c r="Z28" s="1">
        <f t="shared" si="2"/>
        <v>-17132</v>
      </c>
      <c r="AA28" s="1">
        <f t="shared" si="3"/>
        <v>-167356</v>
      </c>
      <c r="AD28" s="1">
        <f t="shared" si="4"/>
        <v>-17132</v>
      </c>
      <c r="AE28" s="1">
        <f t="shared" si="5"/>
        <v>13815.6</v>
      </c>
      <c r="AF28" s="1">
        <f t="shared" si="6"/>
        <v>55.3</v>
      </c>
    </row>
    <row r="29" spans="1:32" x14ac:dyDescent="0.3">
      <c r="A29" s="1">
        <v>2007</v>
      </c>
      <c r="B29" s="2">
        <f>VLOOKUP(A29,'Raw_Imigration data'!A:G, 7, FALSE)</f>
        <v>-110139</v>
      </c>
      <c r="C29" s="1">
        <f>VLOOKUP(A29,'Raw_Imigration data'!A:H, 8, FALSE)</f>
        <v>-44055.6</v>
      </c>
      <c r="D29" s="1">
        <f>'Raw_Gross Domestic Product '!AC3</f>
        <v>14474.2</v>
      </c>
      <c r="E29" s="11">
        <f t="shared" si="8"/>
        <v>4.7670749008367377</v>
      </c>
      <c r="F29" s="1">
        <f>'Raw_Personal Income and Its Dis'!AD3</f>
        <v>11932.1</v>
      </c>
      <c r="G29" s="1">
        <f>Raw_Unemployment!B29</f>
        <v>55.4</v>
      </c>
      <c r="H29" s="2">
        <f t="shared" si="9"/>
        <v>-17132</v>
      </c>
      <c r="I29" s="1">
        <f t="shared" si="10"/>
        <v>5.9543530277931129</v>
      </c>
      <c r="K29" s="2">
        <f t="shared" si="7"/>
        <v>-110139</v>
      </c>
      <c r="L29" s="1">
        <f t="shared" si="0"/>
        <v>55.4</v>
      </c>
      <c r="M29" s="1">
        <f t="shared" si="0"/>
        <v>-17132</v>
      </c>
      <c r="O29" t="s">
        <v>189</v>
      </c>
      <c r="P29">
        <v>0.24280363199928803</v>
      </c>
      <c r="Y29" s="1">
        <f t="shared" si="1"/>
        <v>4.7670749008367377</v>
      </c>
      <c r="Z29" s="1">
        <f t="shared" si="2"/>
        <v>-110139</v>
      </c>
      <c r="AA29" s="1">
        <f t="shared" si="3"/>
        <v>-17132</v>
      </c>
      <c r="AD29" s="1">
        <f t="shared" si="4"/>
        <v>-110139</v>
      </c>
      <c r="AE29" s="1">
        <f t="shared" si="5"/>
        <v>14474.2</v>
      </c>
      <c r="AF29" s="1">
        <f t="shared" si="6"/>
        <v>55.4</v>
      </c>
    </row>
    <row r="30" spans="1:32" x14ac:dyDescent="0.3">
      <c r="A30" s="1">
        <v>2008</v>
      </c>
      <c r="B30" s="2">
        <f>VLOOKUP(A30,'Raw_Imigration data'!A:G, 7, FALSE)</f>
        <v>-3825</v>
      </c>
      <c r="C30" s="1">
        <f>VLOOKUP(A30,'Raw_Imigration data'!A:H, 8, FALSE)</f>
        <v>-1530</v>
      </c>
      <c r="D30" s="1">
        <f>'Raw_Gross Domestic Product '!AD3</f>
        <v>14769.9</v>
      </c>
      <c r="E30" s="11">
        <f t="shared" si="8"/>
        <v>2.0429453786737706</v>
      </c>
      <c r="F30" s="1">
        <f>'Raw_Personal Income and Its Dis'!AE3</f>
        <v>12425.7</v>
      </c>
      <c r="G30" s="1">
        <f>Raw_Unemployment!B30</f>
        <v>69.599999999999994</v>
      </c>
      <c r="H30" s="2">
        <f t="shared" si="9"/>
        <v>-110139</v>
      </c>
      <c r="I30" s="1">
        <f t="shared" si="10"/>
        <v>4.7670749008367377</v>
      </c>
      <c r="K30" s="2">
        <f t="shared" si="7"/>
        <v>-3825</v>
      </c>
      <c r="L30" s="1">
        <f t="shared" si="0"/>
        <v>69.599999999999994</v>
      </c>
      <c r="M30" s="1">
        <f t="shared" si="0"/>
        <v>-110139</v>
      </c>
      <c r="O30" t="s">
        <v>190</v>
      </c>
      <c r="P30">
        <v>0.17396759854467786</v>
      </c>
      <c r="Y30" s="1">
        <f t="shared" si="1"/>
        <v>2.0429453786737706</v>
      </c>
      <c r="Z30" s="1">
        <f t="shared" si="2"/>
        <v>-3825</v>
      </c>
      <c r="AA30" s="1">
        <f t="shared" si="3"/>
        <v>-110139</v>
      </c>
      <c r="AD30" s="1">
        <f t="shared" si="4"/>
        <v>-3825</v>
      </c>
      <c r="AE30" s="1">
        <f t="shared" si="5"/>
        <v>14769.9</v>
      </c>
      <c r="AF30" s="1">
        <f t="shared" si="6"/>
        <v>69.599999999999994</v>
      </c>
    </row>
    <row r="31" spans="1:32" x14ac:dyDescent="0.3">
      <c r="A31" s="1">
        <v>2009</v>
      </c>
      <c r="B31" s="2">
        <f>VLOOKUP(A31,'Raw_Imigration data'!A:G, 7, FALSE)</f>
        <v>243114</v>
      </c>
      <c r="C31" s="1">
        <f>VLOOKUP(A31,'Raw_Imigration data'!A:H, 8, FALSE)</f>
        <v>97245.6</v>
      </c>
      <c r="D31" s="1">
        <f>'Raw_Gross Domestic Product '!AE3</f>
        <v>14478.1</v>
      </c>
      <c r="E31" s="11">
        <f t="shared" si="8"/>
        <v>-1.9756396454952252</v>
      </c>
      <c r="F31" s="1">
        <f>'Raw_Personal Income and Its Dis'!AF3</f>
        <v>12065.7</v>
      </c>
      <c r="G31" s="1">
        <f>Raw_Unemployment!B31</f>
        <v>111.4</v>
      </c>
      <c r="H31" s="2">
        <f t="shared" si="9"/>
        <v>-3825</v>
      </c>
      <c r="I31" s="1">
        <f t="shared" si="10"/>
        <v>2.0429453786737706</v>
      </c>
      <c r="K31" s="2">
        <f t="shared" si="7"/>
        <v>243114</v>
      </c>
      <c r="L31" s="1">
        <f t="shared" si="0"/>
        <v>111.4</v>
      </c>
      <c r="M31" s="1">
        <f t="shared" si="0"/>
        <v>-3825</v>
      </c>
      <c r="O31" t="s">
        <v>191</v>
      </c>
      <c r="P31">
        <v>17.527549927437487</v>
      </c>
      <c r="Y31" s="1">
        <f t="shared" si="1"/>
        <v>-1.9756396454952252</v>
      </c>
      <c r="Z31" s="1">
        <f t="shared" si="2"/>
        <v>243114</v>
      </c>
      <c r="AA31" s="1">
        <f t="shared" si="3"/>
        <v>-3825</v>
      </c>
      <c r="AD31" s="1">
        <f t="shared" si="4"/>
        <v>243114</v>
      </c>
      <c r="AE31" s="1">
        <f t="shared" si="5"/>
        <v>14478.1</v>
      </c>
      <c r="AF31" s="1">
        <f t="shared" si="6"/>
        <v>111.4</v>
      </c>
    </row>
    <row r="32" spans="1:32" ht="15" thickBot="1" x14ac:dyDescent="0.35">
      <c r="A32" s="1">
        <v>2010</v>
      </c>
      <c r="B32" s="2">
        <f>VLOOKUP(A32,'Raw_Imigration data'!A:G, 7, FALSE)</f>
        <v>261671</v>
      </c>
      <c r="C32" s="1">
        <f>VLOOKUP(A32,'Raw_Imigration data'!A:H, 8, FALSE)</f>
        <v>104668.4</v>
      </c>
      <c r="D32" s="1">
        <f>'Raw_Gross Domestic Product '!AF3</f>
        <v>15049</v>
      </c>
      <c r="E32" s="11">
        <f t="shared" si="8"/>
        <v>3.9431969664527777</v>
      </c>
      <c r="F32" s="1">
        <f>'Raw_Personal Income and Its Dis'!AG3</f>
        <v>12556.6</v>
      </c>
      <c r="G32" s="1">
        <f>Raw_Unemployment!B32</f>
        <v>115.3</v>
      </c>
      <c r="H32" s="2">
        <f t="shared" si="9"/>
        <v>243114</v>
      </c>
      <c r="I32" s="1">
        <f t="shared" si="10"/>
        <v>-1.9756396454952252</v>
      </c>
      <c r="K32" s="2">
        <f t="shared" si="7"/>
        <v>261671</v>
      </c>
      <c r="L32" s="1">
        <f t="shared" si="0"/>
        <v>115.3</v>
      </c>
      <c r="M32" s="1">
        <f t="shared" si="0"/>
        <v>243114</v>
      </c>
      <c r="O32" s="12" t="s">
        <v>192</v>
      </c>
      <c r="P32" s="12">
        <v>37</v>
      </c>
      <c r="Y32" s="1">
        <f t="shared" si="1"/>
        <v>3.9431969664527777</v>
      </c>
      <c r="Z32" s="1">
        <f t="shared" si="2"/>
        <v>261671</v>
      </c>
      <c r="AA32" s="1">
        <f t="shared" si="3"/>
        <v>243114</v>
      </c>
      <c r="AD32" s="1">
        <f t="shared" si="4"/>
        <v>261671</v>
      </c>
      <c r="AE32" s="1">
        <f t="shared" si="5"/>
        <v>15049</v>
      </c>
      <c r="AF32" s="1">
        <f t="shared" si="6"/>
        <v>115.3</v>
      </c>
    </row>
    <row r="33" spans="1:32" x14ac:dyDescent="0.3">
      <c r="A33" s="1">
        <v>2011</v>
      </c>
      <c r="B33" s="2">
        <f>VLOOKUP(A33,'Raw_Imigration data'!A:G, 7, FALSE)</f>
        <v>405965</v>
      </c>
      <c r="C33" s="1">
        <f>VLOOKUP(A33,'Raw_Imigration data'!A:H, 8, FALSE)</f>
        <v>162386</v>
      </c>
      <c r="D33" s="1">
        <f>'Raw_Gross Domestic Product '!AG3</f>
        <v>15599.7</v>
      </c>
      <c r="E33" s="11">
        <f t="shared" si="8"/>
        <v>3.6593793607548726</v>
      </c>
      <c r="F33" s="1">
        <f>'Raw_Personal Income and Its Dis'!AH3</f>
        <v>13309.6</v>
      </c>
      <c r="G33" s="1">
        <f>Raw_Unemployment!B33</f>
        <v>107.2</v>
      </c>
      <c r="H33" s="2">
        <f t="shared" si="9"/>
        <v>261671</v>
      </c>
      <c r="I33" s="1">
        <f t="shared" si="10"/>
        <v>3.9431969664527777</v>
      </c>
      <c r="K33" s="2">
        <f t="shared" si="7"/>
        <v>405965</v>
      </c>
      <c r="L33" s="1">
        <f t="shared" si="0"/>
        <v>107.2</v>
      </c>
      <c r="M33" s="1">
        <f t="shared" si="0"/>
        <v>261671</v>
      </c>
      <c r="Y33" s="1">
        <f t="shared" si="1"/>
        <v>3.6593793607548726</v>
      </c>
      <c r="Z33" s="1">
        <f t="shared" si="2"/>
        <v>405965</v>
      </c>
      <c r="AA33" s="1">
        <f t="shared" si="3"/>
        <v>261671</v>
      </c>
      <c r="AD33" s="1">
        <f t="shared" si="4"/>
        <v>405965</v>
      </c>
      <c r="AE33" s="1">
        <f t="shared" si="5"/>
        <v>15599.7</v>
      </c>
      <c r="AF33" s="1">
        <f t="shared" si="6"/>
        <v>107.2</v>
      </c>
    </row>
    <row r="34" spans="1:32" ht="15" thickBot="1" x14ac:dyDescent="0.35">
      <c r="A34" s="1">
        <v>2012</v>
      </c>
      <c r="B34" s="2">
        <f>VLOOKUP(A34,'Raw_Imigration data'!A:G, 7, FALSE)</f>
        <v>443126</v>
      </c>
      <c r="C34" s="1">
        <f>VLOOKUP(A34,'Raw_Imigration data'!A:H, 8, FALSE)</f>
        <v>177250.4</v>
      </c>
      <c r="D34" s="1">
        <f>'Raw_Gross Domestic Product '!AH3</f>
        <v>16254</v>
      </c>
      <c r="E34" s="11">
        <f t="shared" si="8"/>
        <v>4.1943114290659391</v>
      </c>
      <c r="F34" s="1">
        <f>'Raw_Personal Income and Its Dis'!AI3</f>
        <v>13917.8</v>
      </c>
      <c r="G34" s="1">
        <f>Raw_Unemployment!B34</f>
        <v>96.9</v>
      </c>
      <c r="H34" s="2">
        <f t="shared" si="9"/>
        <v>405965</v>
      </c>
      <c r="I34" s="1">
        <f t="shared" si="10"/>
        <v>3.6593793607548726</v>
      </c>
      <c r="K34" s="2">
        <f t="shared" si="7"/>
        <v>443126</v>
      </c>
      <c r="L34" s="1">
        <f t="shared" si="0"/>
        <v>96.9</v>
      </c>
      <c r="M34" s="1">
        <f t="shared" si="0"/>
        <v>405965</v>
      </c>
      <c r="O34" t="s">
        <v>193</v>
      </c>
      <c r="Y34" s="1">
        <f t="shared" si="1"/>
        <v>4.1943114290659391</v>
      </c>
      <c r="Z34" s="1">
        <f t="shared" si="2"/>
        <v>443126</v>
      </c>
      <c r="AA34" s="1">
        <f t="shared" si="3"/>
        <v>405965</v>
      </c>
      <c r="AD34" s="1">
        <f t="shared" si="4"/>
        <v>443126</v>
      </c>
      <c r="AE34" s="1">
        <f t="shared" si="5"/>
        <v>16254</v>
      </c>
      <c r="AF34" s="1">
        <f t="shared" si="6"/>
        <v>96.9</v>
      </c>
    </row>
    <row r="35" spans="1:32" x14ac:dyDescent="0.3">
      <c r="A35" s="1">
        <v>2013</v>
      </c>
      <c r="B35" s="2">
        <f>VLOOKUP(A35,'Raw_Imigration data'!A:G, 7, FALSE)</f>
        <v>449288</v>
      </c>
      <c r="C35" s="1">
        <f>VLOOKUP(A35,'Raw_Imigration data'!A:H, 8, FALSE)</f>
        <v>179715.20000000001</v>
      </c>
      <c r="D35" s="1">
        <f>'Raw_Gross Domestic Product '!AI3</f>
        <v>16880.7</v>
      </c>
      <c r="E35" s="11">
        <f t="shared" si="8"/>
        <v>3.855666297526767</v>
      </c>
      <c r="F35" s="1">
        <f>'Raw_Personal Income and Its Dis'!AJ3</f>
        <v>14068.8</v>
      </c>
      <c r="G35" s="1">
        <f>Raw_Unemployment!B35</f>
        <v>88.3</v>
      </c>
      <c r="H35" s="2">
        <f t="shared" si="9"/>
        <v>443126</v>
      </c>
      <c r="I35" s="1">
        <f t="shared" si="10"/>
        <v>4.1943114290659391</v>
      </c>
      <c r="K35" s="2">
        <f t="shared" si="7"/>
        <v>449288</v>
      </c>
      <c r="L35" s="1">
        <f t="shared" si="0"/>
        <v>88.3</v>
      </c>
      <c r="M35" s="1">
        <f t="shared" si="0"/>
        <v>443126</v>
      </c>
      <c r="O35" s="13"/>
      <c r="P35" s="13" t="s">
        <v>198</v>
      </c>
      <c r="Q35" s="13" t="s">
        <v>199</v>
      </c>
      <c r="R35" s="13" t="s">
        <v>200</v>
      </c>
      <c r="S35" s="13" t="s">
        <v>201</v>
      </c>
      <c r="T35" s="13" t="s">
        <v>202</v>
      </c>
      <c r="Y35" s="1">
        <f t="shared" si="1"/>
        <v>3.855666297526767</v>
      </c>
      <c r="Z35" s="1">
        <f t="shared" si="2"/>
        <v>449288</v>
      </c>
      <c r="AA35" s="1">
        <f t="shared" si="3"/>
        <v>443126</v>
      </c>
      <c r="AD35" s="1">
        <f t="shared" si="4"/>
        <v>449288</v>
      </c>
      <c r="AE35" s="1">
        <f t="shared" si="5"/>
        <v>16880.7</v>
      </c>
      <c r="AF35" s="1">
        <f t="shared" si="6"/>
        <v>88.3</v>
      </c>
    </row>
    <row r="36" spans="1:32" x14ac:dyDescent="0.3">
      <c r="A36" s="1">
        <v>2014</v>
      </c>
      <c r="B36" s="2">
        <f>VLOOKUP(A36,'Raw_Imigration data'!A:G, 7, FALSE)</f>
        <v>517631</v>
      </c>
      <c r="C36" s="1">
        <f>VLOOKUP(A36,'Raw_Imigration data'!A:H, 8, FALSE)</f>
        <v>207052.4</v>
      </c>
      <c r="D36" s="1">
        <f>'Raw_Gross Domestic Product '!AJ3</f>
        <v>17608.099999999999</v>
      </c>
      <c r="E36" s="11">
        <f t="shared" si="8"/>
        <v>4.3090630127897409</v>
      </c>
      <c r="F36" s="1">
        <f>'Raw_Personal Income and Its Dis'!AK3</f>
        <v>14784.1</v>
      </c>
      <c r="G36" s="1">
        <f>Raw_Unemployment!B36</f>
        <v>73.900000000000006</v>
      </c>
      <c r="H36" s="2">
        <f t="shared" si="9"/>
        <v>449288</v>
      </c>
      <c r="I36" s="1">
        <f t="shared" si="10"/>
        <v>3.855666297526767</v>
      </c>
      <c r="K36" s="2">
        <f t="shared" si="7"/>
        <v>517631</v>
      </c>
      <c r="L36" s="1">
        <f t="shared" si="0"/>
        <v>73.900000000000006</v>
      </c>
      <c r="M36" s="1">
        <f t="shared" si="0"/>
        <v>449288</v>
      </c>
      <c r="O36" t="s">
        <v>194</v>
      </c>
      <c r="P36">
        <v>3</v>
      </c>
      <c r="Q36">
        <v>3250.8955976699581</v>
      </c>
      <c r="R36">
        <v>1083.6318658899861</v>
      </c>
      <c r="S36">
        <v>3.5272751757172416</v>
      </c>
      <c r="T36">
        <v>2.5412066349136127E-2</v>
      </c>
      <c r="Y36" s="1">
        <f t="shared" si="1"/>
        <v>4.3090630127897409</v>
      </c>
      <c r="Z36" s="1">
        <f t="shared" si="2"/>
        <v>517631</v>
      </c>
      <c r="AA36" s="1">
        <f t="shared" si="3"/>
        <v>449288</v>
      </c>
      <c r="AD36" s="1">
        <f t="shared" si="4"/>
        <v>517631</v>
      </c>
      <c r="AE36" s="1">
        <f t="shared" si="5"/>
        <v>17608.099999999999</v>
      </c>
      <c r="AF36" s="1">
        <f t="shared" si="6"/>
        <v>73.900000000000006</v>
      </c>
    </row>
    <row r="37" spans="1:32" x14ac:dyDescent="0.3">
      <c r="A37" s="1">
        <v>2015</v>
      </c>
      <c r="B37" s="2">
        <f>VLOOKUP(A37,'Raw_Imigration data'!A:G, 7, FALSE)</f>
        <v>667012</v>
      </c>
      <c r="C37" s="1">
        <f>VLOOKUP(A37,'Raw_Imigration data'!A:H, 8, FALSE)</f>
        <v>266804.80000000005</v>
      </c>
      <c r="D37" s="1">
        <f>'Raw_Gross Domestic Product '!AK3</f>
        <v>18295</v>
      </c>
      <c r="E37" s="11">
        <f t="shared" si="8"/>
        <v>3.9010455415405496</v>
      </c>
      <c r="F37" s="1">
        <f>'Raw_Personal Income and Its Dis'!AL3</f>
        <v>15473.7</v>
      </c>
      <c r="G37" s="1">
        <f>Raw_Unemployment!B37</f>
        <v>63.3</v>
      </c>
      <c r="H37" s="2">
        <f t="shared" si="9"/>
        <v>517631</v>
      </c>
      <c r="I37" s="1">
        <f t="shared" si="10"/>
        <v>4.3090630127897409</v>
      </c>
      <c r="K37" s="2">
        <f t="shared" si="7"/>
        <v>667012</v>
      </c>
      <c r="L37" s="1">
        <f t="shared" si="0"/>
        <v>63.3</v>
      </c>
      <c r="M37" s="1">
        <f t="shared" si="0"/>
        <v>517631</v>
      </c>
      <c r="O37" t="s">
        <v>195</v>
      </c>
      <c r="P37">
        <v>33</v>
      </c>
      <c r="Q37">
        <v>10138.095213140856</v>
      </c>
      <c r="R37">
        <v>307.21500645881383</v>
      </c>
      <c r="Y37" s="1">
        <f t="shared" si="1"/>
        <v>3.9010455415405496</v>
      </c>
      <c r="Z37" s="1">
        <f t="shared" si="2"/>
        <v>667012</v>
      </c>
      <c r="AA37" s="1">
        <f t="shared" si="3"/>
        <v>517631</v>
      </c>
      <c r="AD37" s="1">
        <f t="shared" si="4"/>
        <v>667012</v>
      </c>
      <c r="AE37" s="1">
        <f t="shared" si="5"/>
        <v>18295</v>
      </c>
      <c r="AF37" s="1">
        <f t="shared" si="6"/>
        <v>63.3</v>
      </c>
    </row>
    <row r="38" spans="1:32" ht="15" thickBot="1" x14ac:dyDescent="0.35">
      <c r="A38" s="1">
        <v>2015</v>
      </c>
      <c r="B38" s="2">
        <f>VLOOKUP(A38,'Raw_Imigration data'!A:G, 7, FALSE)</f>
        <v>667012</v>
      </c>
      <c r="C38" s="1">
        <f>VLOOKUP(A38,'Raw_Imigration data'!A:H, 8, FALSE)</f>
        <v>266804.80000000005</v>
      </c>
      <c r="D38" s="1">
        <f>'Raw_Gross Domestic Product '!AK4</f>
        <v>12297.4</v>
      </c>
      <c r="E38" s="11">
        <f t="shared" ref="E38" si="11">((D38-D37)/D37)*100</f>
        <v>-32.782727521180654</v>
      </c>
      <c r="F38" s="1">
        <f>'Raw_Personal Income and Its Dis'!AL4</f>
        <v>9699.4</v>
      </c>
      <c r="G38" s="1">
        <f>Raw_Unemployment!B38</f>
        <v>58.5</v>
      </c>
      <c r="H38" s="2">
        <f t="shared" ref="H38" si="12">B37</f>
        <v>667012</v>
      </c>
      <c r="I38" s="1">
        <f t="shared" ref="I38" si="13">E37</f>
        <v>3.9010455415405496</v>
      </c>
      <c r="K38" s="2">
        <f t="shared" si="7"/>
        <v>667012</v>
      </c>
      <c r="L38" s="1">
        <f t="shared" si="0"/>
        <v>58.5</v>
      </c>
      <c r="M38" s="1">
        <f t="shared" si="0"/>
        <v>667012</v>
      </c>
      <c r="O38" s="12" t="s">
        <v>196</v>
      </c>
      <c r="P38" s="12">
        <v>36</v>
      </c>
      <c r="Q38" s="12">
        <v>13388.990810810814</v>
      </c>
      <c r="R38" s="12"/>
      <c r="S38" s="12"/>
      <c r="T38" s="12"/>
      <c r="Y38" s="1">
        <f t="shared" si="1"/>
        <v>-32.782727521180654</v>
      </c>
      <c r="Z38" s="1">
        <f t="shared" si="2"/>
        <v>667012</v>
      </c>
      <c r="AA38" s="1">
        <f t="shared" si="3"/>
        <v>667012</v>
      </c>
      <c r="AD38" s="1">
        <f t="shared" si="4"/>
        <v>667012</v>
      </c>
      <c r="AE38" s="1">
        <f t="shared" si="5"/>
        <v>12297.4</v>
      </c>
      <c r="AF38" s="1">
        <f t="shared" si="6"/>
        <v>58.5</v>
      </c>
    </row>
    <row r="39" spans="1:32" ht="15" thickBot="1" x14ac:dyDescent="0.35">
      <c r="A39" s="1"/>
      <c r="B39" s="2"/>
      <c r="C39" s="1"/>
      <c r="D39" s="1"/>
      <c r="E39" s="11"/>
      <c r="F39" s="1"/>
      <c r="G39" s="1"/>
      <c r="H39" s="2"/>
      <c r="I39" s="1"/>
      <c r="K39" s="2"/>
      <c r="L39" s="1"/>
      <c r="M39" s="1"/>
    </row>
    <row r="40" spans="1:32" x14ac:dyDescent="0.3">
      <c r="A40" s="1"/>
      <c r="B40" s="2"/>
      <c r="C40" s="1"/>
      <c r="D40" s="1"/>
      <c r="E40" s="11"/>
      <c r="F40" s="1"/>
      <c r="G40" s="1"/>
      <c r="H40" s="2"/>
      <c r="I40" s="1"/>
      <c r="K40" s="2"/>
      <c r="L40" s="1"/>
      <c r="M40" s="1"/>
      <c r="O40" s="13"/>
      <c r="P40" s="13" t="s">
        <v>203</v>
      </c>
      <c r="Q40" s="13" t="s">
        <v>191</v>
      </c>
      <c r="R40" s="13" t="s">
        <v>204</v>
      </c>
      <c r="S40" s="13" t="s">
        <v>205</v>
      </c>
      <c r="T40" s="13" t="s">
        <v>206</v>
      </c>
      <c r="U40" s="13" t="s">
        <v>207</v>
      </c>
      <c r="V40" s="13" t="s">
        <v>208</v>
      </c>
      <c r="W40" s="13" t="s">
        <v>209</v>
      </c>
    </row>
    <row r="41" spans="1:32" x14ac:dyDescent="0.3">
      <c r="A41" s="1"/>
      <c r="B41" s="2"/>
      <c r="C41" s="1"/>
      <c r="D41" s="1"/>
      <c r="E41" s="11"/>
      <c r="F41" s="1"/>
      <c r="G41" s="1"/>
      <c r="H41" s="2"/>
      <c r="I41" s="1"/>
      <c r="K41" s="2"/>
      <c r="L41" s="1"/>
      <c r="M41" s="1"/>
      <c r="O41" t="s">
        <v>197</v>
      </c>
      <c r="P41">
        <v>76.15795822800257</v>
      </c>
      <c r="Q41">
        <v>3.4390623467538428</v>
      </c>
      <c r="R41">
        <v>22.144977481983904</v>
      </c>
      <c r="S41">
        <v>2.2254975696626335E-21</v>
      </c>
      <c r="T41">
        <v>69.161133274649856</v>
      </c>
      <c r="U41">
        <v>83.154783181355285</v>
      </c>
      <c r="V41">
        <v>69.161133274649856</v>
      </c>
      <c r="W41">
        <v>83.154783181355285</v>
      </c>
    </row>
    <row r="42" spans="1:32" x14ac:dyDescent="0.3">
      <c r="A42" s="1"/>
      <c r="B42" s="2"/>
      <c r="C42" s="1"/>
      <c r="D42" s="1"/>
      <c r="E42" s="11"/>
      <c r="F42" s="1"/>
      <c r="G42" s="1"/>
      <c r="H42" s="2"/>
      <c r="I42" s="1"/>
      <c r="K42" s="2"/>
      <c r="L42" s="1"/>
      <c r="M42" s="1"/>
      <c r="O42" t="s">
        <v>171</v>
      </c>
      <c r="P42">
        <v>0.76536121443510252</v>
      </c>
      <c r="Q42">
        <v>0.46557893936502487</v>
      </c>
      <c r="R42">
        <v>1.6438913999824234</v>
      </c>
      <c r="S42">
        <v>0.10969375659431581</v>
      </c>
      <c r="T42">
        <v>-0.18186625987327909</v>
      </c>
      <c r="U42">
        <v>1.7125886887434842</v>
      </c>
      <c r="V42">
        <v>-0.18186625987327909</v>
      </c>
      <c r="W42">
        <v>1.7125886887434842</v>
      </c>
    </row>
    <row r="43" spans="1:32" x14ac:dyDescent="0.3">
      <c r="A43" s="1"/>
      <c r="B43" s="2"/>
      <c r="C43" s="1"/>
      <c r="D43" s="1"/>
      <c r="E43" s="11"/>
      <c r="F43" s="1"/>
      <c r="G43" s="1"/>
      <c r="H43" s="2"/>
      <c r="I43" s="1"/>
      <c r="K43" s="2"/>
      <c r="L43" s="1"/>
      <c r="M43" s="1"/>
      <c r="O43" t="s">
        <v>166</v>
      </c>
      <c r="P43">
        <v>-3.6248466193707542E-6</v>
      </c>
      <c r="Q43">
        <v>1.0657977903467418E-5</v>
      </c>
      <c r="R43">
        <v>-0.34010641157282406</v>
      </c>
      <c r="S43">
        <v>0.73593183870224221</v>
      </c>
      <c r="T43">
        <v>-2.5308665703852258E-5</v>
      </c>
      <c r="U43">
        <v>1.8058972465110749E-5</v>
      </c>
      <c r="V43">
        <v>-2.5308665703852258E-5</v>
      </c>
      <c r="W43">
        <v>1.8058972465110749E-5</v>
      </c>
    </row>
    <row r="44" spans="1:32" ht="15" thickBot="1" x14ac:dyDescent="0.35">
      <c r="A44" s="1"/>
      <c r="B44" s="2"/>
      <c r="C44" s="1"/>
      <c r="D44" s="1"/>
      <c r="E44" s="11"/>
      <c r="F44" s="1"/>
      <c r="G44" s="1"/>
      <c r="H44" s="2"/>
      <c r="I44" s="1"/>
      <c r="O44" s="12" t="s">
        <v>184</v>
      </c>
      <c r="P44" s="12">
        <v>2.3668886180477132E-5</v>
      </c>
      <c r="Q44" s="12">
        <v>1.1004416570932807E-5</v>
      </c>
      <c r="R44" s="12">
        <v>2.1508533440106588</v>
      </c>
      <c r="S44" s="12">
        <v>3.8905951084744171E-2</v>
      </c>
      <c r="T44" s="12">
        <v>1.2802323274093296E-6</v>
      </c>
      <c r="U44" s="12">
        <v>4.6057540033544938E-5</v>
      </c>
      <c r="V44" s="12">
        <v>1.2802323274093296E-6</v>
      </c>
      <c r="W44" s="12">
        <v>4.6057540033544938E-5</v>
      </c>
    </row>
    <row r="45" spans="1:32" x14ac:dyDescent="0.3">
      <c r="A45" s="1"/>
      <c r="B45" s="2"/>
      <c r="C45" s="1"/>
      <c r="D45" s="1"/>
      <c r="E45" s="11"/>
      <c r="F45" s="1"/>
      <c r="G45" s="1"/>
      <c r="H45" s="2"/>
      <c r="I45" s="1"/>
    </row>
    <row r="46" spans="1:32" x14ac:dyDescent="0.3">
      <c r="A46" s="1"/>
      <c r="B46" s="2"/>
      <c r="C46" s="1"/>
      <c r="D46" s="1"/>
      <c r="E46" s="11"/>
      <c r="F46" s="1"/>
      <c r="G46" s="1"/>
      <c r="H46" s="2"/>
      <c r="I46" s="1"/>
    </row>
    <row r="50" spans="15:20" x14ac:dyDescent="0.3">
      <c r="O50" t="s">
        <v>186</v>
      </c>
      <c r="P50" s="10" t="s">
        <v>230</v>
      </c>
    </row>
    <row r="51" spans="15:20" ht="15" thickBot="1" x14ac:dyDescent="0.35"/>
    <row r="52" spans="15:20" x14ac:dyDescent="0.3">
      <c r="O52" s="14" t="s">
        <v>187</v>
      </c>
      <c r="P52" s="14"/>
    </row>
    <row r="53" spans="15:20" x14ac:dyDescent="0.3">
      <c r="O53" t="s">
        <v>188</v>
      </c>
      <c r="P53">
        <v>0.99937051379921749</v>
      </c>
    </row>
    <row r="54" spans="15:20" x14ac:dyDescent="0.3">
      <c r="O54" t="s">
        <v>189</v>
      </c>
      <c r="P54">
        <v>0.99874142385131204</v>
      </c>
    </row>
    <row r="55" spans="15:20" x14ac:dyDescent="0.3">
      <c r="O55" t="s">
        <v>190</v>
      </c>
      <c r="P55">
        <v>0.9986270078377949</v>
      </c>
    </row>
    <row r="56" spans="15:20" x14ac:dyDescent="0.3">
      <c r="O56" t="s">
        <v>191</v>
      </c>
      <c r="P56">
        <v>146.07099807669621</v>
      </c>
    </row>
    <row r="57" spans="15:20" ht="15" thickBot="1" x14ac:dyDescent="0.35">
      <c r="O57" s="12" t="s">
        <v>192</v>
      </c>
      <c r="P57" s="12">
        <v>37</v>
      </c>
    </row>
    <row r="59" spans="15:20" ht="15" thickBot="1" x14ac:dyDescent="0.35">
      <c r="O59" t="s">
        <v>193</v>
      </c>
    </row>
    <row r="60" spans="15:20" x14ac:dyDescent="0.3">
      <c r="O60" s="13"/>
      <c r="P60" s="13" t="s">
        <v>198</v>
      </c>
      <c r="Q60" s="13" t="s">
        <v>199</v>
      </c>
      <c r="R60" s="13" t="s">
        <v>200</v>
      </c>
      <c r="S60" s="13" t="s">
        <v>201</v>
      </c>
      <c r="T60" s="13" t="s">
        <v>202</v>
      </c>
    </row>
    <row r="61" spans="15:20" x14ac:dyDescent="0.3">
      <c r="O61" t="s">
        <v>194</v>
      </c>
      <c r="P61">
        <v>3</v>
      </c>
      <c r="Q61">
        <v>558747379.4037565</v>
      </c>
      <c r="R61">
        <v>186249126.46791884</v>
      </c>
      <c r="S61">
        <v>8729.0353260050797</v>
      </c>
      <c r="T61">
        <v>6.5860689396606994E-48</v>
      </c>
    </row>
    <row r="62" spans="15:20" x14ac:dyDescent="0.3">
      <c r="O62" t="s">
        <v>195</v>
      </c>
      <c r="P62">
        <v>33</v>
      </c>
      <c r="Q62">
        <v>704112.30381103233</v>
      </c>
      <c r="R62">
        <v>21336.736479122192</v>
      </c>
    </row>
    <row r="63" spans="15:20" ht="15" thickBot="1" x14ac:dyDescent="0.35">
      <c r="O63" s="12" t="s">
        <v>196</v>
      </c>
      <c r="P63" s="12">
        <v>36</v>
      </c>
      <c r="Q63" s="12">
        <v>559451491.70756757</v>
      </c>
      <c r="R63" s="12"/>
      <c r="S63" s="12"/>
      <c r="T63" s="12"/>
    </row>
    <row r="64" spans="15:20" ht="15" thickBot="1" x14ac:dyDescent="0.35"/>
    <row r="65" spans="15:23" x14ac:dyDescent="0.3">
      <c r="O65" s="13"/>
      <c r="P65" s="13" t="s">
        <v>203</v>
      </c>
      <c r="Q65" s="13" t="s">
        <v>191</v>
      </c>
      <c r="R65" s="13" t="s">
        <v>204</v>
      </c>
      <c r="S65" s="13" t="s">
        <v>205</v>
      </c>
      <c r="T65" s="13" t="s">
        <v>206</v>
      </c>
      <c r="U65" s="13" t="s">
        <v>207</v>
      </c>
      <c r="V65" s="13" t="s">
        <v>208</v>
      </c>
      <c r="W65" s="13" t="s">
        <v>209</v>
      </c>
    </row>
    <row r="66" spans="15:23" x14ac:dyDescent="0.3">
      <c r="O66" t="s">
        <v>197</v>
      </c>
      <c r="P66">
        <v>-427.58535399960124</v>
      </c>
      <c r="Q66">
        <v>139.08116271960856</v>
      </c>
      <c r="R66">
        <v>-3.074358494267301</v>
      </c>
      <c r="S66">
        <v>4.2144619691243859E-3</v>
      </c>
      <c r="T66">
        <v>-710.54810713968573</v>
      </c>
      <c r="U66">
        <v>-144.62260085951681</v>
      </c>
      <c r="V66">
        <v>-710.54810713968573</v>
      </c>
      <c r="W66">
        <v>-144.62260085951681</v>
      </c>
    </row>
    <row r="67" spans="15:23" x14ac:dyDescent="0.3">
      <c r="O67" t="s">
        <v>166</v>
      </c>
      <c r="P67">
        <v>-5.4751728754763652E-5</v>
      </c>
      <c r="Q67">
        <v>5.7559669127644673E-5</v>
      </c>
      <c r="R67">
        <v>-0.95121687779938213</v>
      </c>
      <c r="S67">
        <v>0.34840961905088086</v>
      </c>
      <c r="T67">
        <v>-1.7185775611107922E-4</v>
      </c>
      <c r="U67">
        <v>6.2354298601551925E-5</v>
      </c>
      <c r="V67">
        <v>-1.7185775611107922E-4</v>
      </c>
      <c r="W67">
        <v>6.2354298601551925E-5</v>
      </c>
    </row>
    <row r="68" spans="15:23" x14ac:dyDescent="0.3">
      <c r="O68" t="s">
        <v>170</v>
      </c>
      <c r="P68">
        <v>0.84797793549900802</v>
      </c>
      <c r="Q68">
        <v>5.9103985797931994E-3</v>
      </c>
      <c r="R68">
        <v>143.47220818543818</v>
      </c>
      <c r="S68">
        <v>1.0242023339803876E-47</v>
      </c>
      <c r="T68">
        <v>0.83595313917439595</v>
      </c>
      <c r="U68">
        <v>0.86000273182362008</v>
      </c>
      <c r="V68">
        <v>0.83595313917439595</v>
      </c>
      <c r="W68">
        <v>0.86000273182362008</v>
      </c>
    </row>
    <row r="69" spans="15:23" ht="15" thickBot="1" x14ac:dyDescent="0.35">
      <c r="O69" s="12" t="s">
        <v>173</v>
      </c>
      <c r="P69" s="12">
        <v>3.2317381132271339</v>
      </c>
      <c r="Q69" s="12">
        <v>1.3794084736993506</v>
      </c>
      <c r="R69" s="12">
        <v>2.3428434541656356</v>
      </c>
      <c r="S69" s="12">
        <v>2.5316354562226997E-2</v>
      </c>
      <c r="T69" s="12">
        <v>0.42531047205455996</v>
      </c>
      <c r="U69" s="12">
        <v>6.0381657543997083</v>
      </c>
      <c r="V69" s="12">
        <v>0.42531047205455996</v>
      </c>
      <c r="W69" s="12">
        <v>6.0381657543997083</v>
      </c>
    </row>
  </sheetData>
  <conditionalFormatting sqref="A1:I38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6B88-341F-4BF3-BCF7-7DF2D6731C42}">
  <dimension ref="A1:R41"/>
  <sheetViews>
    <sheetView zoomScale="70" zoomScaleNormal="70" workbookViewId="0">
      <selection activeCell="N2" sqref="N2"/>
    </sheetView>
  </sheetViews>
  <sheetFormatPr defaultRowHeight="14.4" x14ac:dyDescent="0.3"/>
  <cols>
    <col min="1" max="2" width="18" customWidth="1"/>
    <col min="3" max="3" width="25.88671875" customWidth="1"/>
    <col min="4" max="4" width="18.77734375" customWidth="1"/>
    <col min="5" max="5" width="19.109375" customWidth="1"/>
    <col min="6" max="6" width="17.33203125" customWidth="1"/>
    <col min="7" max="7" width="20.33203125" customWidth="1"/>
    <col min="8" max="8" width="23.109375" customWidth="1"/>
    <col min="9" max="9" width="16.33203125" customWidth="1"/>
    <col min="10" max="10" width="11.33203125" customWidth="1"/>
    <col min="11" max="11" width="16" customWidth="1"/>
    <col min="12" max="12" width="18" customWidth="1"/>
    <col min="13" max="13" width="17" customWidth="1"/>
    <col min="14" max="14" width="25.77734375" customWidth="1"/>
    <col min="15" max="15" width="20" customWidth="1"/>
    <col min="16" max="16" width="11.6640625" customWidth="1"/>
    <col min="17" max="17" width="11.109375" customWidth="1"/>
    <col min="18" max="18" width="12.21875" customWidth="1"/>
  </cols>
  <sheetData>
    <row r="1" spans="1:18" x14ac:dyDescent="0.3">
      <c r="A1" s="9" t="s">
        <v>0</v>
      </c>
      <c r="B1" s="9" t="s">
        <v>166</v>
      </c>
      <c r="C1" s="9" t="s">
        <v>169</v>
      </c>
      <c r="D1" s="9" t="s">
        <v>170</v>
      </c>
      <c r="E1" s="9" t="s">
        <v>171</v>
      </c>
      <c r="F1" s="9" t="s">
        <v>172</v>
      </c>
      <c r="G1" s="9" t="s">
        <v>173</v>
      </c>
      <c r="H1" s="9" t="s">
        <v>184</v>
      </c>
      <c r="I1" s="9" t="s">
        <v>185</v>
      </c>
      <c r="J1" s="9"/>
      <c r="K1" s="9"/>
      <c r="L1" s="9"/>
      <c r="M1" s="9" t="s">
        <v>228</v>
      </c>
      <c r="N1" s="9" t="s">
        <v>214</v>
      </c>
      <c r="O1" s="9" t="s">
        <v>215</v>
      </c>
      <c r="P1" s="9" t="s">
        <v>216</v>
      </c>
      <c r="Q1" s="9" t="s">
        <v>217</v>
      </c>
      <c r="R1" s="9" t="s">
        <v>222</v>
      </c>
    </row>
    <row r="2" spans="1:18" x14ac:dyDescent="0.3">
      <c r="A2" s="1">
        <v>2016</v>
      </c>
      <c r="B2" s="2">
        <f>'Master Dataset'!B38</f>
        <v>829752</v>
      </c>
      <c r="C2" s="1">
        <f>'Master Dataset'!C38</f>
        <v>331900.80000000005</v>
      </c>
      <c r="D2" s="1">
        <f>'Master Dataset'!D38</f>
        <v>18804.900000000001</v>
      </c>
      <c r="E2" s="11">
        <f>'Master Dataset'!E38</f>
        <v>2.787100300628595</v>
      </c>
      <c r="F2" s="1">
        <f>'Master Dataset'!F38</f>
        <v>15887.7</v>
      </c>
      <c r="G2" s="1">
        <f>'Master Dataset'!G38</f>
        <v>58.5</v>
      </c>
      <c r="H2" s="2">
        <f>'Master Dataset'!H38</f>
        <v>667012</v>
      </c>
      <c r="I2" s="2">
        <f>'Master Dataset'!I38</f>
        <v>3.9010455415405496</v>
      </c>
      <c r="K2" s="15"/>
      <c r="M2" s="16">
        <f>A2</f>
        <v>2016</v>
      </c>
      <c r="N2" s="1">
        <f>('Training Data'!$P$18)+('Training Data'!$P$19*'Testing Data'!B2)+('Training Data'!$P$20*'Testing Data'!G2)+('Training Data'!$P$21*'Testing Data'!H2)</f>
        <v>-3.3979603364257489</v>
      </c>
      <c r="O2" s="11">
        <f>E2</f>
        <v>2.787100300628595</v>
      </c>
      <c r="P2" s="11">
        <f>O2-N2</f>
        <v>6.1850606370543435</v>
      </c>
      <c r="Q2" s="1">
        <f>ABS(P2)</f>
        <v>6.1850606370543435</v>
      </c>
      <c r="R2" s="18">
        <f>ABS((O2-N2)/O2)</f>
        <v>2.2191740410847007</v>
      </c>
    </row>
    <row r="3" spans="1:18" x14ac:dyDescent="0.3">
      <c r="A3" s="1">
        <v>2017</v>
      </c>
      <c r="B3" s="2">
        <f>'Master Dataset'!B39</f>
        <v>796106</v>
      </c>
      <c r="C3" s="1">
        <f>'Master Dataset'!C39</f>
        <v>318442.39999999997</v>
      </c>
      <c r="D3" s="1">
        <f>'Master Dataset'!D39</f>
        <v>19612.099999999999</v>
      </c>
      <c r="E3" s="11">
        <f>'Master Dataset'!E39</f>
        <v>4.2924982318438127</v>
      </c>
      <c r="F3" s="1">
        <f>'Master Dataset'!F39</f>
        <v>16662.8</v>
      </c>
      <c r="G3" s="1">
        <f>'Master Dataset'!G39</f>
        <v>52.3</v>
      </c>
      <c r="H3" s="2">
        <f>'Master Dataset'!H39</f>
        <v>829752</v>
      </c>
      <c r="I3" s="2">
        <f>'Master Dataset'!I39</f>
        <v>2.787100300628595</v>
      </c>
      <c r="K3" s="15"/>
      <c r="M3" s="16">
        <f t="shared" ref="M3:M7" si="0">A3</f>
        <v>2017</v>
      </c>
      <c r="N3" s="1">
        <f>('Training Data'!$P$18)+('Training Data'!$P$19*'Testing Data'!B3)+('Training Data'!$P$20*'Testing Data'!G3)+('Training Data'!$P$21*'Testing Data'!H3)</f>
        <v>-4.6776007087209646</v>
      </c>
      <c r="O3" s="11">
        <f t="shared" ref="O3:O7" si="1">E3</f>
        <v>4.2924982318438127</v>
      </c>
      <c r="P3" s="11">
        <f t="shared" ref="P3:P7" si="2">O3-N3</f>
        <v>8.9700989405647782</v>
      </c>
      <c r="Q3" s="1">
        <f t="shared" ref="Q3:Q7" si="3">ABS(P3)</f>
        <v>8.9700989405647782</v>
      </c>
      <c r="R3" s="18">
        <f t="shared" ref="R3:R7" si="4">ABS((O3-N3)/O3)</f>
        <v>2.0897152325003368</v>
      </c>
    </row>
    <row r="4" spans="1:18" x14ac:dyDescent="0.3">
      <c r="A4" s="1">
        <v>2018</v>
      </c>
      <c r="B4" s="2">
        <f>'Master Dataset'!B40</f>
        <v>631502</v>
      </c>
      <c r="C4" s="1">
        <f>'Master Dataset'!C40</f>
        <v>252600.80000000002</v>
      </c>
      <c r="D4" s="1">
        <f>'Master Dataset'!D40</f>
        <v>20656.5</v>
      </c>
      <c r="E4" s="11">
        <f>'Master Dataset'!E40</f>
        <v>5.3252838808694714</v>
      </c>
      <c r="F4" s="1">
        <f>'Master Dataset'!F40</f>
        <v>17528.2</v>
      </c>
      <c r="G4" s="1">
        <f>'Master Dataset'!G40</f>
        <v>46.7</v>
      </c>
      <c r="H4" s="2">
        <f>'Master Dataset'!H40</f>
        <v>796106</v>
      </c>
      <c r="I4" s="2">
        <f>'Master Dataset'!I40</f>
        <v>4.2924982318438127</v>
      </c>
      <c r="K4" s="15"/>
      <c r="M4" s="16">
        <f t="shared" si="0"/>
        <v>2018</v>
      </c>
      <c r="N4" s="1">
        <f>('Training Data'!$P$18)+('Training Data'!$P$19*'Testing Data'!B4)+('Training Data'!$P$20*'Testing Data'!G4)+('Training Data'!$P$21*'Testing Data'!H4)</f>
        <v>-4.6913785550577698</v>
      </c>
      <c r="O4" s="11">
        <f t="shared" si="1"/>
        <v>5.3252838808694714</v>
      </c>
      <c r="P4" s="11">
        <f t="shared" si="2"/>
        <v>10.016662435927241</v>
      </c>
      <c r="Q4" s="1">
        <f t="shared" si="3"/>
        <v>10.016662435927241</v>
      </c>
      <c r="R4" s="18">
        <f t="shared" si="4"/>
        <v>1.8809630922984331</v>
      </c>
    </row>
    <row r="5" spans="1:18" x14ac:dyDescent="0.3">
      <c r="A5" s="1">
        <v>2019</v>
      </c>
      <c r="B5" s="2">
        <f>'Master Dataset'!B41</f>
        <v>543373</v>
      </c>
      <c r="C5" s="1">
        <f>'Master Dataset'!C41</f>
        <v>217349.2</v>
      </c>
      <c r="D5" s="1">
        <f>'Master Dataset'!D41</f>
        <v>21540</v>
      </c>
      <c r="E5" s="11">
        <f>'Master Dataset'!E41</f>
        <v>4.2771040592549561</v>
      </c>
      <c r="F5" s="1">
        <f>'Master Dataset'!F41</f>
        <v>18363.2</v>
      </c>
      <c r="G5" s="1">
        <f>'Master Dataset'!G41</f>
        <v>44.1</v>
      </c>
      <c r="H5" s="2">
        <f>'Master Dataset'!H41</f>
        <v>631502</v>
      </c>
      <c r="I5" s="2">
        <f>'Master Dataset'!I41</f>
        <v>5.3252838808694714</v>
      </c>
      <c r="K5" s="15"/>
      <c r="M5" s="16">
        <f t="shared" si="0"/>
        <v>2019</v>
      </c>
      <c r="N5" s="1">
        <f>('Training Data'!$P$18)+('Training Data'!$P$19*'Testing Data'!B5)+('Training Data'!$P$20*'Testing Data'!G5)+('Training Data'!$P$21*'Testing Data'!H5)</f>
        <v>-3.9995498438119537</v>
      </c>
      <c r="O5" s="11">
        <f t="shared" si="1"/>
        <v>4.2771040592549561</v>
      </c>
      <c r="P5" s="11">
        <f t="shared" si="2"/>
        <v>8.2766539030669097</v>
      </c>
      <c r="Q5" s="1">
        <f t="shared" si="3"/>
        <v>8.2766539030669097</v>
      </c>
      <c r="R5" s="18">
        <f t="shared" si="4"/>
        <v>1.9351069762162039</v>
      </c>
    </row>
    <row r="6" spans="1:18" x14ac:dyDescent="0.3">
      <c r="A6" s="1">
        <v>2020</v>
      </c>
      <c r="B6" s="2">
        <f>'Master Dataset'!B42</f>
        <v>313888</v>
      </c>
      <c r="C6" s="1">
        <f>'Master Dataset'!C42</f>
        <v>125555.2</v>
      </c>
      <c r="D6" s="1">
        <f>'Master Dataset'!D42</f>
        <v>21375.3</v>
      </c>
      <c r="E6" s="11">
        <f>'Master Dataset'!E42</f>
        <v>-0.76462395543175821</v>
      </c>
      <c r="F6" s="1">
        <f>'Master Dataset'!F42</f>
        <v>19631.7</v>
      </c>
      <c r="G6" s="1">
        <f>'Master Dataset'!G42</f>
        <v>97.2</v>
      </c>
      <c r="H6" s="2">
        <f>'Master Dataset'!H42</f>
        <v>543373</v>
      </c>
      <c r="I6" s="2">
        <f>'Master Dataset'!I42</f>
        <v>4.2771040592549561</v>
      </c>
      <c r="K6" s="15"/>
      <c r="M6" s="16">
        <f t="shared" si="0"/>
        <v>2020</v>
      </c>
      <c r="N6" s="1">
        <f>('Training Data'!$P$18)+('Training Data'!$P$19*'Testing Data'!B6)+('Training Data'!$P$20*'Testing Data'!G6)+('Training Data'!$P$21*'Testing Data'!H6)</f>
        <v>2.3676033249206729</v>
      </c>
      <c r="O6" s="11">
        <f t="shared" si="1"/>
        <v>-0.76462395543175821</v>
      </c>
      <c r="P6" s="11">
        <f t="shared" si="2"/>
        <v>-3.1322272803524314</v>
      </c>
      <c r="Q6" s="1">
        <f t="shared" si="3"/>
        <v>3.1322272803524314</v>
      </c>
      <c r="R6" s="18">
        <f t="shared" si="4"/>
        <v>4.0964283921548921</v>
      </c>
    </row>
    <row r="7" spans="1:18" x14ac:dyDescent="0.3">
      <c r="A7" s="1">
        <v>2021</v>
      </c>
      <c r="B7" s="2">
        <f>'Master Dataset'!B43</f>
        <v>484038</v>
      </c>
      <c r="C7" s="1">
        <f>'Master Dataset'!C43</f>
        <v>193615.2</v>
      </c>
      <c r="D7" s="1">
        <f>'Master Dataset'!D43</f>
        <v>23725.599999999999</v>
      </c>
      <c r="E7" s="11">
        <f>'Master Dataset'!E43</f>
        <v>10.995401234134723</v>
      </c>
      <c r="F7" s="1">
        <f>'Master Dataset'!F43</f>
        <v>21498.9</v>
      </c>
      <c r="G7" s="1">
        <f>'Master Dataset'!G43</f>
        <v>64.3</v>
      </c>
      <c r="H7" s="2">
        <f>'Master Dataset'!H43</f>
        <v>313888</v>
      </c>
      <c r="I7" s="2">
        <f>'Master Dataset'!I43</f>
        <v>-0.76462395543175821</v>
      </c>
      <c r="K7" s="15"/>
      <c r="M7" s="16">
        <f t="shared" si="0"/>
        <v>2021</v>
      </c>
      <c r="N7" s="1">
        <f>('Training Data'!$P$18)+('Training Data'!$P$19*'Testing Data'!B7)+('Training Data'!$P$20*'Testing Data'!G7)+('Training Data'!$P$21*'Testing Data'!H7)</f>
        <v>-0.3697626326979222</v>
      </c>
      <c r="O7" s="11">
        <f t="shared" si="1"/>
        <v>10.995401234134723</v>
      </c>
      <c r="P7" s="11">
        <f t="shared" si="2"/>
        <v>11.365163866832646</v>
      </c>
      <c r="Q7" s="1">
        <f t="shared" si="3"/>
        <v>11.365163866832646</v>
      </c>
      <c r="R7" s="18">
        <f t="shared" si="4"/>
        <v>1.0336288439888861</v>
      </c>
    </row>
    <row r="8" spans="1:18" x14ac:dyDescent="0.3">
      <c r="Q8" s="1"/>
    </row>
    <row r="9" spans="1:18" x14ac:dyDescent="0.3">
      <c r="A9" s="10" t="s">
        <v>228</v>
      </c>
    </row>
    <row r="10" spans="1:18" x14ac:dyDescent="0.3">
      <c r="A10" s="10" t="s">
        <v>219</v>
      </c>
      <c r="B10">
        <f>AVERAGE(Q2:Q7)</f>
        <v>7.990977843966391</v>
      </c>
    </row>
    <row r="11" spans="1:18" x14ac:dyDescent="0.3">
      <c r="A11" s="10" t="s">
        <v>223</v>
      </c>
      <c r="B11">
        <f>SQRT(SUMPRODUCT((P2:P7)^2)/6)</f>
        <v>8.4314092705961805</v>
      </c>
      <c r="M11" s="9" t="s">
        <v>229</v>
      </c>
      <c r="N11" s="9" t="s">
        <v>231</v>
      </c>
      <c r="O11" s="9" t="s">
        <v>232</v>
      </c>
      <c r="P11" s="9" t="s">
        <v>216</v>
      </c>
      <c r="Q11" s="9" t="s">
        <v>217</v>
      </c>
      <c r="R11" s="9" t="s">
        <v>222</v>
      </c>
    </row>
    <row r="12" spans="1:18" x14ac:dyDescent="0.3">
      <c r="A12" s="10" t="s">
        <v>220</v>
      </c>
      <c r="B12" s="19">
        <f>AVERAGE(R2:R7)</f>
        <v>2.2091694297072419</v>
      </c>
      <c r="M12" s="1">
        <f>A2</f>
        <v>2016</v>
      </c>
      <c r="N12" s="1">
        <f>('Training Data'!$P$41)+('Training Data'!$P$42*'Testing Data'!B2)+('Training Data'!$P$20*'Testing Data'!G2)+('Training Data'!$P$21*'Testing Data'!H2)</f>
        <v>635139.11538436508</v>
      </c>
      <c r="O12" s="1">
        <f>G2</f>
        <v>58.5</v>
      </c>
      <c r="P12" s="1">
        <f>O12-N12</f>
        <v>-635080.61538436508</v>
      </c>
      <c r="Q12" s="1">
        <f>ABS(P12)</f>
        <v>635080.61538436508</v>
      </c>
      <c r="R12" s="17">
        <f>ABS((O12-N12)/O12)</f>
        <v>10856.078895459232</v>
      </c>
    </row>
    <row r="13" spans="1:18" x14ac:dyDescent="0.3">
      <c r="A13" s="10" t="s">
        <v>221</v>
      </c>
      <c r="B13" s="19">
        <f>100%-B12</f>
        <v>-1.2091694297072419</v>
      </c>
      <c r="M13" s="1">
        <f t="shared" ref="M13:M17" si="5">A3</f>
        <v>2017</v>
      </c>
      <c r="N13" s="1">
        <f>('Training Data'!$P$41)+('Training Data'!$P$42*'Testing Data'!B3)+('Training Data'!$P$20*'Testing Data'!G3)+('Training Data'!$P$21*'Testing Data'!H3)</f>
        <v>609386.40949882439</v>
      </c>
      <c r="O13" s="1">
        <f t="shared" ref="O13:O17" si="6">G3</f>
        <v>52.3</v>
      </c>
      <c r="P13" s="1">
        <f t="shared" ref="P13:P17" si="7">O13-N13</f>
        <v>-609334.10949882434</v>
      </c>
      <c r="Q13" s="1">
        <f t="shared" ref="Q13:Q17" si="8">ABS(P13)</f>
        <v>609334.10949882434</v>
      </c>
      <c r="R13" s="17">
        <f t="shared" ref="R13:R17" si="9">ABS((O13-N13)/O13)</f>
        <v>11650.74779156452</v>
      </c>
    </row>
    <row r="14" spans="1:18" x14ac:dyDescent="0.3">
      <c r="M14" s="1">
        <f t="shared" si="5"/>
        <v>2018</v>
      </c>
      <c r="N14" s="1">
        <f>('Training Data'!$P$41)+('Training Data'!$P$42*'Testing Data'!B4)+('Training Data'!$P$20*'Testing Data'!G4)+('Training Data'!$P$21*'Testing Data'!H4)</f>
        <v>483404.47318457905</v>
      </c>
      <c r="O14" s="1">
        <f t="shared" si="6"/>
        <v>46.7</v>
      </c>
      <c r="P14" s="1">
        <f t="shared" si="7"/>
        <v>-483357.77318457904</v>
      </c>
      <c r="Q14" s="1">
        <f t="shared" si="8"/>
        <v>483357.77318457904</v>
      </c>
      <c r="R14" s="17">
        <f t="shared" si="9"/>
        <v>10350.273515729743</v>
      </c>
    </row>
    <row r="15" spans="1:18" x14ac:dyDescent="0.3">
      <c r="M15" s="1">
        <f t="shared" si="5"/>
        <v>2019</v>
      </c>
      <c r="N15" s="1">
        <f>('Training Data'!$P$41)+('Training Data'!$P$42*'Testing Data'!B5)+('Training Data'!$P$20*'Testing Data'!G5)+('Training Data'!$P$21*'Testing Data'!H5)</f>
        <v>415954.4296046106</v>
      </c>
      <c r="O15" s="1">
        <f t="shared" si="6"/>
        <v>44.1</v>
      </c>
      <c r="P15" s="1">
        <f t="shared" si="7"/>
        <v>-415910.32960461063</v>
      </c>
      <c r="Q15" s="1">
        <f t="shared" si="8"/>
        <v>415910.32960461063</v>
      </c>
      <c r="R15" s="17">
        <f t="shared" si="9"/>
        <v>9431.0732336646397</v>
      </c>
    </row>
    <row r="16" spans="1:18" x14ac:dyDescent="0.3">
      <c r="A16" s="10" t="s">
        <v>229</v>
      </c>
      <c r="M16" s="1">
        <f t="shared" si="5"/>
        <v>2020</v>
      </c>
      <c r="N16" s="1">
        <f>('Training Data'!$P$41)+('Training Data'!$P$42*'Testing Data'!B6)+('Training Data'!$P$20*'Testing Data'!G6)+('Training Data'!$P$21*'Testing Data'!H6)</f>
        <v>240321.3135540568</v>
      </c>
      <c r="O16" s="1">
        <f t="shared" si="6"/>
        <v>97.2</v>
      </c>
      <c r="P16" s="1">
        <f t="shared" si="7"/>
        <v>-240224.11355405679</v>
      </c>
      <c r="Q16" s="1">
        <f t="shared" si="8"/>
        <v>240224.11355405679</v>
      </c>
      <c r="R16" s="17">
        <f t="shared" si="9"/>
        <v>2471.4414974697202</v>
      </c>
    </row>
    <row r="17" spans="1:18" x14ac:dyDescent="0.3">
      <c r="A17" s="10" t="s">
        <v>219</v>
      </c>
      <c r="B17">
        <f>AVERAGE(Q12:Q17)</f>
        <v>459064.64114973956</v>
      </c>
      <c r="M17" s="1">
        <f t="shared" si="5"/>
        <v>2021</v>
      </c>
      <c r="N17" s="1">
        <f>('Training Data'!$P$41)+('Training Data'!$P$42*'Testing Data'!B7)+('Training Data'!$P$20*'Testing Data'!G7)+('Training Data'!$P$21*'Testing Data'!H7)</f>
        <v>370545.20567200176</v>
      </c>
      <c r="O17" s="1">
        <f t="shared" si="6"/>
        <v>64.3</v>
      </c>
      <c r="P17" s="1">
        <f t="shared" si="7"/>
        <v>-370480.90567200177</v>
      </c>
      <c r="Q17" s="1">
        <f t="shared" si="8"/>
        <v>370480.90567200177</v>
      </c>
      <c r="R17" s="17">
        <f t="shared" si="9"/>
        <v>5761.755920248861</v>
      </c>
    </row>
    <row r="18" spans="1:18" x14ac:dyDescent="0.3">
      <c r="A18" s="10" t="s">
        <v>223</v>
      </c>
      <c r="B18">
        <f>SQRT(SUMPRODUCT((P12:P17)^2)/6)</f>
        <v>478921.5855102411</v>
      </c>
      <c r="M18" s="1"/>
      <c r="N18" s="1"/>
      <c r="O18" s="1"/>
      <c r="P18" s="1"/>
      <c r="Q18" s="1"/>
      <c r="R18" s="1"/>
    </row>
    <row r="19" spans="1:18" x14ac:dyDescent="0.3">
      <c r="A19" s="10" t="s">
        <v>220</v>
      </c>
      <c r="B19" s="19">
        <f>AVERAGE(R12:R17)</f>
        <v>8420.2284756894533</v>
      </c>
      <c r="M19" s="1"/>
      <c r="N19" s="1"/>
      <c r="O19" s="1"/>
      <c r="P19" s="1"/>
      <c r="Q19" s="1"/>
      <c r="R19" s="1"/>
    </row>
    <row r="20" spans="1:18" x14ac:dyDescent="0.3">
      <c r="A20" s="10" t="s">
        <v>221</v>
      </c>
      <c r="B20" s="19">
        <f>100%-B19</f>
        <v>-8419.2284756894533</v>
      </c>
      <c r="M20" s="1"/>
      <c r="N20" s="1"/>
      <c r="O20" s="1"/>
      <c r="P20" s="1"/>
      <c r="Q20" s="1"/>
      <c r="R20" s="1"/>
    </row>
    <row r="21" spans="1:18" x14ac:dyDescent="0.3">
      <c r="M21" s="9" t="s">
        <v>230</v>
      </c>
      <c r="N21" s="9" t="s">
        <v>233</v>
      </c>
      <c r="O21" s="9" t="s">
        <v>234</v>
      </c>
      <c r="P21" s="9" t="s">
        <v>216</v>
      </c>
      <c r="Q21" s="9" t="s">
        <v>217</v>
      </c>
      <c r="R21" s="9" t="s">
        <v>235</v>
      </c>
    </row>
    <row r="22" spans="1:18" x14ac:dyDescent="0.3">
      <c r="A22" s="10" t="s">
        <v>230</v>
      </c>
      <c r="M22" s="1">
        <f>A2</f>
        <v>2016</v>
      </c>
      <c r="N22" s="1">
        <f>('Training Data'!$P$66)+('Training Data'!$P$67*'Testing Data'!B2)+('Training Data'!$P$68*'Testing Data'!D2)+('Training Data'!$P$69*'Testing Data'!G2)</f>
        <v>15662.18124845176</v>
      </c>
      <c r="O22" s="1">
        <f>D2</f>
        <v>18804.900000000001</v>
      </c>
      <c r="P22" s="1">
        <f>O22-N22</f>
        <v>3142.7187515482419</v>
      </c>
      <c r="Q22" s="1">
        <f>ABS(P22)</f>
        <v>3142.7187515482419</v>
      </c>
      <c r="R22" s="17">
        <f>ABS((O22-N22)/O22)</f>
        <v>0.16712233255950532</v>
      </c>
    </row>
    <row r="23" spans="1:18" x14ac:dyDescent="0.3">
      <c r="A23" s="10" t="s">
        <v>219</v>
      </c>
      <c r="B23">
        <f>AVERAGE(Q22:Q27)</f>
        <v>3450.0772403395381</v>
      </c>
      <c r="M23" s="1">
        <f t="shared" ref="M23:M27" si="10">A3</f>
        <v>2017</v>
      </c>
      <c r="N23" s="1">
        <f>('Training Data'!$P$66)+('Training Data'!$P$67*'Testing Data'!B3)+('Training Data'!$P$68*'Testing Data'!D3)+('Training Data'!$P$69*'Testing Data'!G3)</f>
        <v>16328.474438350233</v>
      </c>
      <c r="O23" s="1">
        <f t="shared" ref="O23:O27" si="11">D3</f>
        <v>19612.099999999999</v>
      </c>
      <c r="P23" s="1">
        <f t="shared" ref="P23:P27" si="12">O23-N23</f>
        <v>3283.6255616497656</v>
      </c>
      <c r="Q23" s="1">
        <f t="shared" ref="Q23:Q27" si="13">ABS(P23)</f>
        <v>3283.6255616497656</v>
      </c>
      <c r="R23" s="17">
        <f t="shared" ref="R23:R27" si="14">ABS((O23-N23)/O23)</f>
        <v>0.16742855490486822</v>
      </c>
    </row>
    <row r="24" spans="1:18" x14ac:dyDescent="0.3">
      <c r="A24" s="10" t="s">
        <v>223</v>
      </c>
      <c r="B24">
        <f>SQRT(SUMPRODUCT((P22:P27)^2)/6)</f>
        <v>3457.5302918942775</v>
      </c>
      <c r="M24" s="1">
        <f t="shared" si="10"/>
        <v>2018</v>
      </c>
      <c r="N24" s="1">
        <f>('Training Data'!$P$66)+('Training Data'!$P$67*'Testing Data'!B4)+('Training Data'!$P$68*'Testing Data'!D4)+('Training Data'!$P$69*'Testing Data'!G4)</f>
        <v>17205.017214311276</v>
      </c>
      <c r="O24" s="1">
        <f t="shared" si="11"/>
        <v>20656.5</v>
      </c>
      <c r="P24" s="1">
        <f t="shared" si="12"/>
        <v>3451.4827856887241</v>
      </c>
      <c r="Q24" s="1">
        <f t="shared" si="13"/>
        <v>3451.4827856887241</v>
      </c>
      <c r="R24" s="17">
        <f t="shared" si="14"/>
        <v>0.1670894287845823</v>
      </c>
    </row>
    <row r="25" spans="1:18" x14ac:dyDescent="0.3">
      <c r="A25" s="10" t="s">
        <v>220</v>
      </c>
      <c r="B25" s="19">
        <f>AVERAGE(R22:R27)</f>
        <v>0.16480243055848867</v>
      </c>
      <c r="M25" s="1">
        <f t="shared" si="10"/>
        <v>2019</v>
      </c>
      <c r="N25" s="1">
        <f>('Training Data'!$P$66)+('Training Data'!$P$67*'Testing Data'!B5)+('Training Data'!$P$68*'Testing Data'!D5)+('Training Data'!$P$69*'Testing Data'!G5)</f>
        <v>17950.628416333686</v>
      </c>
      <c r="O25" s="1">
        <f t="shared" si="11"/>
        <v>21540</v>
      </c>
      <c r="P25" s="1">
        <f t="shared" si="12"/>
        <v>3589.3715836663141</v>
      </c>
      <c r="Q25" s="1">
        <f t="shared" si="13"/>
        <v>3589.3715836663141</v>
      </c>
      <c r="R25" s="17">
        <f t="shared" si="14"/>
        <v>0.16663749227791616</v>
      </c>
    </row>
    <row r="26" spans="1:18" x14ac:dyDescent="0.3">
      <c r="A26" s="10" t="s">
        <v>221</v>
      </c>
      <c r="B26" s="19">
        <f>100%-B25</f>
        <v>0.83519756944151136</v>
      </c>
      <c r="M26" s="1">
        <f t="shared" si="10"/>
        <v>2020</v>
      </c>
      <c r="N26" s="1">
        <f>('Training Data'!$P$66)+('Training Data'!$P$67*'Testing Data'!B6)+('Training Data'!$P$68*'Testing Data'!D6)+('Training Data'!$P$69*'Testing Data'!G6)</f>
        <v>17995.136444642649</v>
      </c>
      <c r="O26" s="1">
        <f t="shared" si="11"/>
        <v>21375.3</v>
      </c>
      <c r="P26" s="1">
        <f t="shared" si="12"/>
        <v>3380.1635553573506</v>
      </c>
      <c r="Q26" s="1">
        <f t="shared" si="13"/>
        <v>3380.1635553573506</v>
      </c>
      <c r="R26" s="17">
        <f t="shared" si="14"/>
        <v>0.15813408725759875</v>
      </c>
    </row>
    <row r="27" spans="1:18" x14ac:dyDescent="0.3">
      <c r="M27" s="1">
        <f t="shared" si="10"/>
        <v>2021</v>
      </c>
      <c r="N27" s="1">
        <f>('Training Data'!$P$66)+('Training Data'!$P$67*'Testing Data'!B7)+('Training Data'!$P$68*'Testing Data'!D7)+('Training Data'!$P$69*'Testing Data'!G7)</f>
        <v>19872.498795873169</v>
      </c>
      <c r="O27" s="1">
        <f t="shared" si="11"/>
        <v>23725.599999999999</v>
      </c>
      <c r="P27" s="1">
        <f t="shared" si="12"/>
        <v>3853.1012041268295</v>
      </c>
      <c r="Q27" s="1">
        <f t="shared" si="13"/>
        <v>3853.1012041268295</v>
      </c>
      <c r="R27" s="17">
        <f t="shared" si="14"/>
        <v>0.16240268756646112</v>
      </c>
    </row>
    <row r="28" spans="1:18" x14ac:dyDescent="0.3">
      <c r="M28" s="1"/>
      <c r="N28" s="1"/>
      <c r="O28" s="1"/>
      <c r="P28" s="1"/>
      <c r="Q28" s="1"/>
      <c r="R28" s="1"/>
    </row>
    <row r="29" spans="1:18" x14ac:dyDescent="0.3">
      <c r="M29" s="1"/>
      <c r="N29" s="1"/>
      <c r="O29" s="1"/>
      <c r="P29" s="1"/>
      <c r="Q29" s="1"/>
      <c r="R29" s="1"/>
    </row>
    <row r="30" spans="1:18" x14ac:dyDescent="0.3">
      <c r="M30" s="1"/>
      <c r="N30" s="1"/>
      <c r="O30" s="1"/>
      <c r="P30" s="1"/>
      <c r="Q30" s="1"/>
      <c r="R30" s="1"/>
    </row>
    <row r="31" spans="1:18" x14ac:dyDescent="0.3">
      <c r="M31" s="1"/>
      <c r="N31" s="1"/>
      <c r="O31" s="1"/>
      <c r="P31" s="1"/>
      <c r="Q31" s="1"/>
      <c r="R31" s="1"/>
    </row>
    <row r="32" spans="1:18" x14ac:dyDescent="0.3">
      <c r="M32" s="1"/>
      <c r="N32" s="1"/>
      <c r="O32" s="1"/>
      <c r="P32" s="1"/>
      <c r="Q32" s="1"/>
      <c r="R32" s="1"/>
    </row>
    <row r="33" spans="13:18" x14ac:dyDescent="0.3">
      <c r="M33" s="1"/>
      <c r="N33" s="1"/>
      <c r="O33" s="1"/>
      <c r="P33" s="1"/>
      <c r="Q33" s="1"/>
      <c r="R33" s="1"/>
    </row>
    <row r="34" spans="13:18" x14ac:dyDescent="0.3">
      <c r="M34" s="1"/>
      <c r="N34" s="1"/>
      <c r="O34" s="1"/>
      <c r="P34" s="1"/>
      <c r="Q34" s="1"/>
      <c r="R34" s="1"/>
    </row>
    <row r="35" spans="13:18" x14ac:dyDescent="0.3">
      <c r="M35" s="1"/>
      <c r="N35" s="1"/>
      <c r="O35" s="1"/>
      <c r="P35" s="1"/>
      <c r="Q35" s="1"/>
      <c r="R35" s="1"/>
    </row>
    <row r="36" spans="13:18" x14ac:dyDescent="0.3">
      <c r="M36" s="1"/>
      <c r="N36" s="1"/>
      <c r="O36" s="1"/>
      <c r="P36" s="1"/>
      <c r="Q36" s="1"/>
      <c r="R36" s="1"/>
    </row>
    <row r="37" spans="13:18" x14ac:dyDescent="0.3">
      <c r="M37" s="1"/>
      <c r="N37" s="1"/>
      <c r="O37" s="1"/>
      <c r="P37" s="1"/>
      <c r="Q37" s="1"/>
      <c r="R37" s="1"/>
    </row>
    <row r="38" spans="13:18" x14ac:dyDescent="0.3">
      <c r="M38" s="1"/>
      <c r="N38" s="1"/>
      <c r="O38" s="1"/>
      <c r="P38" s="1"/>
      <c r="Q38" s="1"/>
      <c r="R38" s="1"/>
    </row>
    <row r="39" spans="13:18" x14ac:dyDescent="0.3">
      <c r="M39" s="1"/>
      <c r="N39" s="1"/>
      <c r="O39" s="1"/>
      <c r="P39" s="1"/>
      <c r="Q39" s="1"/>
      <c r="R39" s="1"/>
    </row>
    <row r="40" spans="13:18" x14ac:dyDescent="0.3">
      <c r="M40" s="1"/>
      <c r="N40" s="1"/>
      <c r="O40" s="1"/>
      <c r="P40" s="1"/>
      <c r="Q40" s="1"/>
      <c r="R40" s="1"/>
    </row>
    <row r="41" spans="13:18" x14ac:dyDescent="0.3">
      <c r="M41" s="1"/>
      <c r="N41" s="1"/>
      <c r="O41" s="1"/>
      <c r="P41" s="1"/>
      <c r="Q41" s="1"/>
      <c r="R4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6313-061C-43F1-B69B-61FC8C3C172C}">
  <dimension ref="A1:AN45"/>
  <sheetViews>
    <sheetView zoomScale="99" zoomScaleNormal="99" workbookViewId="0">
      <selection activeCell="J44" sqref="J44"/>
    </sheetView>
  </sheetViews>
  <sheetFormatPr defaultRowHeight="14.4" x14ac:dyDescent="0.3"/>
  <cols>
    <col min="2" max="2" width="12.6640625" bestFit="1" customWidth="1"/>
    <col min="17" max="17" width="14.88671875" customWidth="1"/>
    <col min="18" max="18" width="24.21875" customWidth="1"/>
    <col min="19" max="19" width="9" bestFit="1" customWidth="1"/>
    <col min="20" max="20" width="11.109375" bestFit="1" customWidth="1"/>
    <col min="21" max="21" width="12.88671875" bestFit="1" customWidth="1"/>
    <col min="37" max="37" width="15" customWidth="1"/>
    <col min="38" max="38" width="14.21875" customWidth="1"/>
    <col min="39" max="39" width="10.5546875" customWidth="1"/>
  </cols>
  <sheetData>
    <row r="1" spans="1:40" ht="16.2" x14ac:dyDescent="0.3">
      <c r="A1" t="s">
        <v>236</v>
      </c>
      <c r="B1" t="s">
        <v>239</v>
      </c>
      <c r="J1" s="10" t="s">
        <v>240</v>
      </c>
      <c r="K1" s="10" t="s">
        <v>237</v>
      </c>
      <c r="R1" s="10" t="s">
        <v>244</v>
      </c>
      <c r="AJ1" s="9" t="s">
        <v>0</v>
      </c>
      <c r="AK1" s="9" t="s">
        <v>166</v>
      </c>
      <c r="AL1" s="10" t="str">
        <f>'Master Dataset'!E1</f>
        <v>GDP Growth Rate</v>
      </c>
      <c r="AM1" s="9" t="s">
        <v>173</v>
      </c>
      <c r="AN1" s="10" t="str">
        <f>'Master Dataset'!F1</f>
        <v xml:space="preserve">Personal Income </v>
      </c>
    </row>
    <row r="2" spans="1:40" x14ac:dyDescent="0.3">
      <c r="A2" t="s">
        <v>228</v>
      </c>
      <c r="B2">
        <f>'Training Data'!P19</f>
        <v>-2.4616383772250275E-6</v>
      </c>
      <c r="J2" t="s">
        <v>228</v>
      </c>
      <c r="K2">
        <v>0.20846615602265164</v>
      </c>
      <c r="AJ2" s="1">
        <v>1980</v>
      </c>
      <c r="AK2" s="2">
        <f>'Master Dataset'!B2</f>
        <v>-5813</v>
      </c>
      <c r="AM2">
        <f>'Master Dataset'!G2</f>
        <v>86.1</v>
      </c>
      <c r="AN2">
        <f>'Master Dataset'!F2</f>
        <v>2324.5</v>
      </c>
    </row>
    <row r="3" spans="1:40" x14ac:dyDescent="0.3">
      <c r="A3" t="s">
        <v>229</v>
      </c>
      <c r="B3">
        <f>'Training Data'!P43</f>
        <v>-3.6248466193707542E-6</v>
      </c>
      <c r="J3" t="s">
        <v>229</v>
      </c>
      <c r="K3">
        <v>0.24280363199928803</v>
      </c>
      <c r="R3" s="10" t="s">
        <v>241</v>
      </c>
      <c r="S3" s="10" t="s">
        <v>228</v>
      </c>
      <c r="T3" s="10" t="s">
        <v>229</v>
      </c>
      <c r="U3" s="10" t="s">
        <v>230</v>
      </c>
      <c r="AJ3" s="1">
        <v>1981</v>
      </c>
      <c r="AK3" s="2">
        <f>'Master Dataset'!B3</f>
        <v>-86988</v>
      </c>
      <c r="AL3">
        <f>'Master Dataset'!E3</f>
        <v>12.238826864522444</v>
      </c>
      <c r="AM3">
        <f>'Master Dataset'!G3</f>
        <v>91.4</v>
      </c>
      <c r="AN3">
        <f>'Master Dataset'!F3</f>
        <v>2603.1999999999998</v>
      </c>
    </row>
    <row r="4" spans="1:40" x14ac:dyDescent="0.3">
      <c r="A4" t="s">
        <v>230</v>
      </c>
      <c r="B4">
        <f>'Training Data'!P67</f>
        <v>-5.4751728754763652E-5</v>
      </c>
      <c r="J4" t="s">
        <v>230</v>
      </c>
      <c r="K4">
        <v>0.99874142385131204</v>
      </c>
      <c r="R4" s="10" t="s">
        <v>166</v>
      </c>
      <c r="S4">
        <f>'Training Data'!S19</f>
        <v>0.52651081141744893</v>
      </c>
      <c r="T4">
        <f>'Training Data'!S43</f>
        <v>0.73593183870224221</v>
      </c>
      <c r="U4">
        <f>'Training Data'!S67</f>
        <v>0.34840961905088086</v>
      </c>
      <c r="AJ4" s="1">
        <v>1982</v>
      </c>
      <c r="AK4" s="2">
        <f>'Master Dataset'!B4</f>
        <v>-196068</v>
      </c>
      <c r="AL4">
        <f>'Master Dataset'!E4</f>
        <v>4.2656688493919601</v>
      </c>
      <c r="AM4">
        <f>'Master Dataset'!G4</f>
        <v>116.5</v>
      </c>
      <c r="AN4">
        <f>'Master Dataset'!F4</f>
        <v>2789.5</v>
      </c>
    </row>
    <row r="5" spans="1:40" x14ac:dyDescent="0.3">
      <c r="R5" s="10" t="s">
        <v>242</v>
      </c>
      <c r="T5">
        <f>'Training Data'!S42</f>
        <v>0.10969375659431581</v>
      </c>
      <c r="U5">
        <f>'Training Data'!S68</f>
        <v>1.0242023339803876E-47</v>
      </c>
      <c r="AJ5" s="1">
        <v>1983</v>
      </c>
      <c r="AK5" s="2">
        <f>'Master Dataset'!B5</f>
        <v>-339541</v>
      </c>
      <c r="AL5">
        <f>'Master Dataset'!E5</f>
        <v>8.6787487289909624</v>
      </c>
      <c r="AM5">
        <f>'Master Dataset'!G5</f>
        <v>115.2</v>
      </c>
      <c r="AN5">
        <f>'Master Dataset'!F5</f>
        <v>2981.7</v>
      </c>
    </row>
    <row r="6" spans="1:40" x14ac:dyDescent="0.3">
      <c r="R6" s="10" t="s">
        <v>243</v>
      </c>
      <c r="S6">
        <f>'Training Data'!S20</f>
        <v>0.10370822136676104</v>
      </c>
      <c r="U6">
        <f>'Training Data'!S69</f>
        <v>2.5316354562226997E-2</v>
      </c>
      <c r="AJ6" s="1">
        <v>1984</v>
      </c>
      <c r="AK6" s="2">
        <f>'Master Dataset'!B6</f>
        <v>-316325</v>
      </c>
      <c r="AL6">
        <f>'Master Dataset'!E6</f>
        <v>11.106219042377543</v>
      </c>
      <c r="AM6">
        <f>'Master Dataset'!G6</f>
        <v>90.1</v>
      </c>
      <c r="AN6">
        <f>'Master Dataset'!F6</f>
        <v>3288.7</v>
      </c>
    </row>
    <row r="7" spans="1:40" x14ac:dyDescent="0.3">
      <c r="AJ7" s="1">
        <v>1985</v>
      </c>
      <c r="AK7" s="2">
        <f>'Master Dataset'!B7</f>
        <v>-428548</v>
      </c>
      <c r="AL7">
        <f>'Master Dataset'!E7</f>
        <v>7.4648305924311504</v>
      </c>
      <c r="AM7">
        <f>'Master Dataset'!G7</f>
        <v>86.3</v>
      </c>
      <c r="AN7">
        <f>'Master Dataset'!F7</f>
        <v>3522.9</v>
      </c>
    </row>
    <row r="8" spans="1:40" x14ac:dyDescent="0.3">
      <c r="AJ8" s="1">
        <v>1986</v>
      </c>
      <c r="AK8" s="2">
        <f>'Master Dataset'!B8</f>
        <v>-948739</v>
      </c>
      <c r="AL8">
        <f>'Master Dataset'!E8</f>
        <v>5.5450564646231939</v>
      </c>
      <c r="AM8">
        <f>'Master Dataset'!G8</f>
        <v>84</v>
      </c>
      <c r="AN8">
        <f>'Master Dataset'!F8</f>
        <v>3731.2</v>
      </c>
    </row>
    <row r="9" spans="1:40" x14ac:dyDescent="0.3">
      <c r="AJ9" s="1">
        <v>1987</v>
      </c>
      <c r="AK9" s="2">
        <f>'Master Dataset'!B9</f>
        <v>-451122</v>
      </c>
      <c r="AL9">
        <f>'Master Dataset'!E9</f>
        <v>6.0179928378024155</v>
      </c>
      <c r="AM9">
        <f>'Master Dataset'!G9</f>
        <v>74.099999999999994</v>
      </c>
      <c r="AN9">
        <f>'Master Dataset'!F9</f>
        <v>3946.8</v>
      </c>
    </row>
    <row r="10" spans="1:40" x14ac:dyDescent="0.3">
      <c r="AJ10" s="1">
        <v>1988</v>
      </c>
      <c r="AK10" s="2">
        <f>'Master Dataset'!B10</f>
        <v>-219790</v>
      </c>
      <c r="AL10">
        <f>'Master Dataset'!E10</f>
        <v>7.8513758444554256</v>
      </c>
      <c r="AM10">
        <f>'Master Dataset'!G10</f>
        <v>65.900000000000006</v>
      </c>
      <c r="AN10">
        <f>'Master Dataset'!F10</f>
        <v>4280</v>
      </c>
    </row>
    <row r="11" spans="1:40" x14ac:dyDescent="0.3">
      <c r="AJ11" s="1">
        <v>1989</v>
      </c>
      <c r="AK11" s="2">
        <f>'Master Dataset'!B11</f>
        <v>331925</v>
      </c>
      <c r="AL11">
        <f>'Master Dataset'!E11</f>
        <v>7.7381407073562132</v>
      </c>
      <c r="AM11">
        <f>'Master Dataset'!G11</f>
        <v>63.1</v>
      </c>
      <c r="AN11">
        <f>'Master Dataset'!F11</f>
        <v>4621</v>
      </c>
    </row>
    <row r="12" spans="1:40" x14ac:dyDescent="0.3">
      <c r="AJ12" s="1">
        <v>1990</v>
      </c>
      <c r="AK12" s="2">
        <f>'Master Dataset'!B12</f>
        <v>605366</v>
      </c>
      <c r="AL12">
        <f>'Master Dataset'!E12</f>
        <v>5.698737946681792</v>
      </c>
      <c r="AM12">
        <f>'Master Dataset'!G12</f>
        <v>67.400000000000006</v>
      </c>
      <c r="AN12">
        <f>'Master Dataset'!F12</f>
        <v>4913.3</v>
      </c>
    </row>
    <row r="13" spans="1:40" x14ac:dyDescent="0.3">
      <c r="AJ13" s="1">
        <v>1991</v>
      </c>
      <c r="AK13" s="2">
        <f>'Master Dataset'!B13</f>
        <v>845690</v>
      </c>
      <c r="AL13">
        <f>'Master Dataset'!E13</f>
        <v>3.2701111837802483</v>
      </c>
      <c r="AM13">
        <f>'Master Dataset'!G13</f>
        <v>82.2</v>
      </c>
      <c r="AN13">
        <f>'Master Dataset'!F13</f>
        <v>5089.8999999999996</v>
      </c>
    </row>
    <row r="14" spans="1:40" x14ac:dyDescent="0.3">
      <c r="AJ14" s="1">
        <v>1992</v>
      </c>
      <c r="AK14" s="2">
        <f>'Master Dataset'!B14</f>
        <v>-60507</v>
      </c>
      <c r="AL14">
        <f>'Master Dataset'!E14</f>
        <v>5.8816842857374807</v>
      </c>
      <c r="AM14">
        <f>'Master Dataset'!G14</f>
        <v>89.9</v>
      </c>
      <c r="AN14">
        <f>'Master Dataset'!F14</f>
        <v>5417.5</v>
      </c>
    </row>
    <row r="15" spans="1:40" x14ac:dyDescent="0.3">
      <c r="AJ15" s="1">
        <v>1993</v>
      </c>
      <c r="AK15" s="2">
        <f>'Master Dataset'!B15</f>
        <v>-267855</v>
      </c>
      <c r="AL15">
        <f>'Master Dataset'!E15</f>
        <v>5.1884115761544738</v>
      </c>
      <c r="AM15">
        <f>'Master Dataset'!G15</f>
        <v>82.9</v>
      </c>
      <c r="AN15">
        <f>'Master Dataset'!F15</f>
        <v>5652.9</v>
      </c>
    </row>
    <row r="16" spans="1:40" x14ac:dyDescent="0.3">
      <c r="AJ16" s="1">
        <v>1994</v>
      </c>
      <c r="AK16" s="2">
        <f>'Master Dataset'!B16</f>
        <v>-159108</v>
      </c>
      <c r="AL16">
        <f>'Master Dataset'!E16</f>
        <v>6.249088735310405</v>
      </c>
      <c r="AM16">
        <f>'Master Dataset'!G16</f>
        <v>73.2</v>
      </c>
      <c r="AN16">
        <f>'Master Dataset'!F16</f>
        <v>5940.9</v>
      </c>
    </row>
    <row r="17" spans="36:40" x14ac:dyDescent="0.3">
      <c r="AJ17" s="1">
        <v>1995</v>
      </c>
      <c r="AK17" s="2">
        <f>'Master Dataset'!B17</f>
        <v>-545538</v>
      </c>
      <c r="AL17">
        <f>'Master Dataset'!E17</f>
        <v>4.8372488747392683</v>
      </c>
      <c r="AM17">
        <f>'Master Dataset'!G17</f>
        <v>67.099999999999994</v>
      </c>
      <c r="AN17">
        <f>'Master Dataset'!F17</f>
        <v>6283.4</v>
      </c>
    </row>
    <row r="18" spans="36:40" x14ac:dyDescent="0.3">
      <c r="AJ18" s="1">
        <v>1996</v>
      </c>
      <c r="AK18" s="2">
        <f>'Master Dataset'!B18</f>
        <v>-652127</v>
      </c>
      <c r="AL18">
        <f>'Master Dataset'!E18</f>
        <v>5.6729976307970285</v>
      </c>
      <c r="AM18">
        <f>'Master Dataset'!G18</f>
        <v>64.900000000000006</v>
      </c>
      <c r="AN18">
        <f>'Master Dataset'!F18</f>
        <v>6666.2</v>
      </c>
    </row>
    <row r="19" spans="36:40" x14ac:dyDescent="0.3">
      <c r="AJ19" s="1">
        <v>1997</v>
      </c>
      <c r="AK19" s="2">
        <f>'Master Dataset'!B19</f>
        <v>-687616</v>
      </c>
      <c r="AL19">
        <f>'Master Dataset'!E19</f>
        <v>6.2491484064361895</v>
      </c>
      <c r="AM19">
        <f>'Master Dataset'!G19</f>
        <v>59.3</v>
      </c>
      <c r="AN19">
        <f>'Master Dataset'!F19</f>
        <v>7074</v>
      </c>
    </row>
    <row r="20" spans="36:40" x14ac:dyDescent="0.3">
      <c r="AJ20" s="1">
        <v>1998</v>
      </c>
      <c r="AK20" s="2">
        <f>'Master Dataset'!B20</f>
        <v>-1015022</v>
      </c>
      <c r="AL20">
        <f>'Master Dataset'!E20</f>
        <v>5.6565939190449415</v>
      </c>
      <c r="AM20">
        <f>'Master Dataset'!G20</f>
        <v>54</v>
      </c>
      <c r="AN20">
        <f>'Master Dataset'!F20</f>
        <v>7588.4</v>
      </c>
    </row>
    <row r="21" spans="36:40" x14ac:dyDescent="0.3">
      <c r="AJ21" s="1">
        <v>1999</v>
      </c>
      <c r="AK21" s="2">
        <f>'Master Dataset'!B21</f>
        <v>-1027905</v>
      </c>
      <c r="AL21">
        <f>'Master Dataset'!E21</f>
        <v>6.2717923820453008</v>
      </c>
      <c r="AM21">
        <f>'Master Dataset'!G21</f>
        <v>50.6</v>
      </c>
      <c r="AN21">
        <f>'Master Dataset'!F21</f>
        <v>7978.6</v>
      </c>
    </row>
    <row r="22" spans="36:40" x14ac:dyDescent="0.3">
      <c r="AJ22" s="1">
        <v>2000</v>
      </c>
      <c r="AK22" s="2">
        <f>'Master Dataset'!B22</f>
        <v>-951176</v>
      </c>
      <c r="AL22">
        <f>'Master Dataset'!E22</f>
        <v>6.435335160727627</v>
      </c>
      <c r="AM22">
        <f>'Master Dataset'!G22</f>
        <v>47.6</v>
      </c>
      <c r="AN22">
        <f>'Master Dataset'!F22</f>
        <v>8621.2999999999993</v>
      </c>
    </row>
    <row r="23" spans="36:40" x14ac:dyDescent="0.3">
      <c r="AJ23" s="1">
        <v>2001</v>
      </c>
      <c r="AK23" s="2">
        <f>'Master Dataset'!B23</f>
        <v>-410575</v>
      </c>
      <c r="AL23">
        <f>'Master Dataset'!E23</f>
        <v>3.2279777582674827</v>
      </c>
      <c r="AM23">
        <f>'Master Dataset'!G23</f>
        <v>56.9</v>
      </c>
      <c r="AN23">
        <f>'Master Dataset'!F23</f>
        <v>8993.1</v>
      </c>
    </row>
    <row r="24" spans="36:40" x14ac:dyDescent="0.3">
      <c r="AJ24" s="1">
        <v>2002</v>
      </c>
      <c r="AK24" s="2">
        <f>'Master Dataset'!B24</f>
        <v>-91143</v>
      </c>
      <c r="AL24">
        <f>'Master Dataset'!E24</f>
        <v>3.2810742872263083</v>
      </c>
      <c r="AM24">
        <f>'Master Dataset'!G24</f>
        <v>69.400000000000006</v>
      </c>
      <c r="AN24">
        <f>'Master Dataset'!F24</f>
        <v>9150</v>
      </c>
    </row>
    <row r="25" spans="36:40" x14ac:dyDescent="0.3">
      <c r="AJ25" s="1">
        <v>2003</v>
      </c>
      <c r="AK25" s="2">
        <f>'Master Dataset'!B25</f>
        <v>-424564</v>
      </c>
      <c r="AL25">
        <f>'Master Dataset'!E25</f>
        <v>4.8256489555407089</v>
      </c>
      <c r="AM25">
        <f>'Master Dataset'!G25</f>
        <v>71.900000000000006</v>
      </c>
      <c r="AN25">
        <f>'Master Dataset'!F25</f>
        <v>9481.7999999999993</v>
      </c>
    </row>
    <row r="26" spans="36:40" x14ac:dyDescent="0.3">
      <c r="AJ26" s="1">
        <v>2004</v>
      </c>
      <c r="AK26" s="2">
        <f>'Master Dataset'!B26</f>
        <v>-396518</v>
      </c>
      <c r="AL26">
        <f>'Master Dataset'!E26</f>
        <v>6.6398987474359599</v>
      </c>
      <c r="AM26">
        <f>'Master Dataset'!G26</f>
        <v>66.5</v>
      </c>
      <c r="AN26">
        <f>'Master Dataset'!F26</f>
        <v>10015.9</v>
      </c>
    </row>
    <row r="27" spans="36:40" x14ac:dyDescent="0.3">
      <c r="AJ27" s="1">
        <v>2005</v>
      </c>
      <c r="AK27" s="2">
        <f>'Master Dataset'!B27</f>
        <v>-167356</v>
      </c>
      <c r="AL27">
        <f>'Master Dataset'!E27</f>
        <v>6.7282192319025631</v>
      </c>
      <c r="AM27">
        <f>'Master Dataset'!G27</f>
        <v>61</v>
      </c>
      <c r="AN27">
        <f>'Master Dataset'!F27</f>
        <v>10546.1</v>
      </c>
    </row>
    <row r="28" spans="36:40" x14ac:dyDescent="0.3">
      <c r="AJ28" s="1">
        <v>2006</v>
      </c>
      <c r="AK28" s="2">
        <f>'Master Dataset'!B28</f>
        <v>-17132</v>
      </c>
      <c r="AL28">
        <f>'Master Dataset'!E28</f>
        <v>5.9543530277931129</v>
      </c>
      <c r="AM28">
        <f>'Master Dataset'!G28</f>
        <v>55.3</v>
      </c>
      <c r="AN28">
        <f>'Master Dataset'!F28</f>
        <v>11302</v>
      </c>
    </row>
    <row r="29" spans="36:40" x14ac:dyDescent="0.3">
      <c r="AJ29" s="1">
        <v>2007</v>
      </c>
      <c r="AK29" s="2">
        <f>'Master Dataset'!B29</f>
        <v>-110139</v>
      </c>
      <c r="AL29">
        <f>'Master Dataset'!E29</f>
        <v>4.7670749008367377</v>
      </c>
      <c r="AM29">
        <f>'Master Dataset'!G29</f>
        <v>55.4</v>
      </c>
      <c r="AN29">
        <f>'Master Dataset'!F29</f>
        <v>11932.1</v>
      </c>
    </row>
    <row r="30" spans="36:40" x14ac:dyDescent="0.3">
      <c r="AJ30" s="1">
        <v>2008</v>
      </c>
      <c r="AK30" s="2">
        <f>'Master Dataset'!B30</f>
        <v>-3825</v>
      </c>
      <c r="AL30">
        <f>'Master Dataset'!E30</f>
        <v>2.0429453786737706</v>
      </c>
      <c r="AM30">
        <f>'Master Dataset'!G30</f>
        <v>69.599999999999994</v>
      </c>
      <c r="AN30">
        <f>'Master Dataset'!F30</f>
        <v>12425.7</v>
      </c>
    </row>
    <row r="31" spans="36:40" x14ac:dyDescent="0.3">
      <c r="AJ31" s="1">
        <v>2009</v>
      </c>
      <c r="AK31" s="2">
        <f>'Master Dataset'!B31</f>
        <v>243114</v>
      </c>
      <c r="AL31">
        <f>'Master Dataset'!E31</f>
        <v>-1.9756396454952252</v>
      </c>
      <c r="AM31">
        <f>'Master Dataset'!G31</f>
        <v>111.4</v>
      </c>
      <c r="AN31">
        <f>'Master Dataset'!F31</f>
        <v>12065.7</v>
      </c>
    </row>
    <row r="32" spans="36:40" x14ac:dyDescent="0.3">
      <c r="AJ32" s="1">
        <v>2010</v>
      </c>
      <c r="AK32" s="2">
        <f>'Master Dataset'!B32</f>
        <v>261671</v>
      </c>
      <c r="AL32">
        <f>'Master Dataset'!E32</f>
        <v>3.9431969664527777</v>
      </c>
      <c r="AM32">
        <f>'Master Dataset'!G32</f>
        <v>115.3</v>
      </c>
      <c r="AN32">
        <f>'Master Dataset'!F32</f>
        <v>12556.6</v>
      </c>
    </row>
    <row r="33" spans="36:40" x14ac:dyDescent="0.3">
      <c r="AJ33" s="1">
        <v>2011</v>
      </c>
      <c r="AK33" s="2">
        <f>'Master Dataset'!B33</f>
        <v>405965</v>
      </c>
      <c r="AL33">
        <f>'Master Dataset'!E33</f>
        <v>3.6593793607548726</v>
      </c>
      <c r="AM33">
        <f>'Master Dataset'!G33</f>
        <v>107.2</v>
      </c>
      <c r="AN33">
        <f>'Master Dataset'!F33</f>
        <v>13309.6</v>
      </c>
    </row>
    <row r="34" spans="36:40" x14ac:dyDescent="0.3">
      <c r="AJ34" s="1">
        <v>2012</v>
      </c>
      <c r="AK34" s="2">
        <f>'Master Dataset'!B34</f>
        <v>443126</v>
      </c>
      <c r="AL34">
        <f>'Master Dataset'!E34</f>
        <v>4.1943114290659391</v>
      </c>
      <c r="AM34">
        <f>'Master Dataset'!G34</f>
        <v>96.9</v>
      </c>
      <c r="AN34">
        <f>'Master Dataset'!F34</f>
        <v>13917.8</v>
      </c>
    </row>
    <row r="35" spans="36:40" x14ac:dyDescent="0.3">
      <c r="AJ35" s="1">
        <v>2013</v>
      </c>
      <c r="AK35" s="2">
        <f>'Master Dataset'!B35</f>
        <v>449288</v>
      </c>
      <c r="AL35">
        <f>'Master Dataset'!E35</f>
        <v>3.855666297526767</v>
      </c>
      <c r="AM35">
        <f>'Master Dataset'!G35</f>
        <v>88.3</v>
      </c>
      <c r="AN35">
        <f>'Master Dataset'!F35</f>
        <v>14068.8</v>
      </c>
    </row>
    <row r="36" spans="36:40" x14ac:dyDescent="0.3">
      <c r="AJ36" s="1">
        <v>2014</v>
      </c>
      <c r="AK36" s="2">
        <f>'Master Dataset'!B36</f>
        <v>517631</v>
      </c>
      <c r="AL36">
        <f>'Master Dataset'!E36</f>
        <v>4.3090630127897409</v>
      </c>
      <c r="AM36">
        <f>'Master Dataset'!G36</f>
        <v>73.900000000000006</v>
      </c>
      <c r="AN36">
        <f>'Master Dataset'!F36</f>
        <v>14784.1</v>
      </c>
    </row>
    <row r="37" spans="36:40" x14ac:dyDescent="0.3">
      <c r="AJ37" s="1">
        <v>2015</v>
      </c>
      <c r="AK37" s="2">
        <f>'Master Dataset'!B37</f>
        <v>667012</v>
      </c>
      <c r="AL37">
        <f>'Master Dataset'!E37</f>
        <v>3.9010455415405496</v>
      </c>
      <c r="AM37">
        <f>'Master Dataset'!G37</f>
        <v>63.3</v>
      </c>
      <c r="AN37">
        <f>'Master Dataset'!F37</f>
        <v>15473.7</v>
      </c>
    </row>
    <row r="38" spans="36:40" x14ac:dyDescent="0.3">
      <c r="AJ38" s="1">
        <v>2016</v>
      </c>
      <c r="AK38" s="2">
        <f>'Master Dataset'!B38</f>
        <v>829752</v>
      </c>
      <c r="AL38">
        <f>'Master Dataset'!E38</f>
        <v>2.787100300628595</v>
      </c>
      <c r="AM38">
        <f>'Master Dataset'!G38</f>
        <v>58.5</v>
      </c>
      <c r="AN38">
        <f>'Master Dataset'!F38</f>
        <v>15887.7</v>
      </c>
    </row>
    <row r="39" spans="36:40" x14ac:dyDescent="0.3">
      <c r="AJ39" s="1">
        <v>2017</v>
      </c>
      <c r="AK39" s="2">
        <f>'Master Dataset'!B39</f>
        <v>796106</v>
      </c>
      <c r="AL39">
        <f>'Master Dataset'!E39</f>
        <v>4.2924982318438127</v>
      </c>
      <c r="AM39">
        <f>'Master Dataset'!G39</f>
        <v>52.3</v>
      </c>
      <c r="AN39">
        <f>'Master Dataset'!F39</f>
        <v>16662.8</v>
      </c>
    </row>
    <row r="40" spans="36:40" x14ac:dyDescent="0.3">
      <c r="AJ40" s="1">
        <v>2018</v>
      </c>
      <c r="AK40" s="2">
        <f>'Master Dataset'!B40</f>
        <v>631502</v>
      </c>
      <c r="AL40">
        <f>'Master Dataset'!E40</f>
        <v>5.3252838808694714</v>
      </c>
      <c r="AM40">
        <f>'Master Dataset'!G40</f>
        <v>46.7</v>
      </c>
      <c r="AN40">
        <f>'Master Dataset'!F40</f>
        <v>17528.2</v>
      </c>
    </row>
    <row r="41" spans="36:40" x14ac:dyDescent="0.3">
      <c r="AJ41" s="1">
        <v>2019</v>
      </c>
      <c r="AK41" s="2">
        <f>'Master Dataset'!B41</f>
        <v>543373</v>
      </c>
      <c r="AL41">
        <f>'Master Dataset'!E41</f>
        <v>4.2771040592549561</v>
      </c>
      <c r="AM41">
        <f>'Master Dataset'!G41</f>
        <v>44.1</v>
      </c>
      <c r="AN41">
        <f>'Master Dataset'!F41</f>
        <v>18363.2</v>
      </c>
    </row>
    <row r="42" spans="36:40" x14ac:dyDescent="0.3">
      <c r="AJ42" s="1">
        <v>2020</v>
      </c>
      <c r="AK42" s="2">
        <f>'Master Dataset'!B42</f>
        <v>313888</v>
      </c>
      <c r="AL42">
        <f>'Master Dataset'!E42</f>
        <v>-0.76462395543175821</v>
      </c>
      <c r="AM42">
        <f>'Master Dataset'!G42</f>
        <v>97.2</v>
      </c>
      <c r="AN42">
        <f>'Master Dataset'!F42</f>
        <v>19631.7</v>
      </c>
    </row>
    <row r="43" spans="36:40" x14ac:dyDescent="0.3">
      <c r="AJ43" s="1">
        <v>2021</v>
      </c>
      <c r="AK43" s="2">
        <f>'Master Dataset'!B43</f>
        <v>484038</v>
      </c>
      <c r="AL43">
        <f>'Master Dataset'!E43</f>
        <v>10.995401234134723</v>
      </c>
      <c r="AM43">
        <f>'Master Dataset'!G43</f>
        <v>64.3</v>
      </c>
      <c r="AN43">
        <f>'Master Dataset'!F43</f>
        <v>21498.9</v>
      </c>
    </row>
    <row r="44" spans="36:40" x14ac:dyDescent="0.3">
      <c r="AJ44" s="1"/>
      <c r="AK44" s="1"/>
    </row>
    <row r="45" spans="36:40" x14ac:dyDescent="0.3">
      <c r="AJ45" s="1"/>
      <c r="AK45" s="1"/>
    </row>
  </sheetData>
  <conditionalFormatting sqref="S4:U6">
    <cfRule type="cellIs" dxfId="4" priority="4" operator="greaterThan">
      <formula>0.1</formula>
    </cfRule>
    <cfRule type="cellIs" dxfId="3" priority="5" operator="between">
      <formula>0.05</formula>
      <formula>0.1</formula>
    </cfRule>
    <cfRule type="cellIs" dxfId="2" priority="6" operator="lessThan">
      <formula>0.05</formula>
    </cfRule>
  </conditionalFormatting>
  <conditionalFormatting sqref="AJ1:AK43">
    <cfRule type="cellIs" dxfId="1" priority="2" operator="equal">
      <formula>0</formula>
    </cfRule>
  </conditionalFormatting>
  <conditionalFormatting sqref="AM1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B2DA-48DF-4AAE-B47D-309C6F71DFEA}">
  <dimension ref="A1:I43"/>
  <sheetViews>
    <sheetView topLeftCell="D1" zoomScale="96" zoomScaleNormal="96" workbookViewId="0">
      <selection activeCell="Q30" sqref="Q30"/>
    </sheetView>
  </sheetViews>
  <sheetFormatPr defaultRowHeight="14.4" x14ac:dyDescent="0.3"/>
  <cols>
    <col min="1" max="1" width="10.6640625" style="1" customWidth="1"/>
    <col min="2" max="2" width="59.21875" style="1" customWidth="1"/>
    <col min="3" max="3" width="24" style="1" customWidth="1"/>
    <col min="4" max="4" width="32.88671875" style="1" customWidth="1"/>
    <col min="5" max="5" width="23.44140625" style="1" customWidth="1"/>
    <col min="6" max="6" width="18.88671875" style="1" customWidth="1"/>
    <col min="7" max="7" width="18.44140625" style="1" customWidth="1"/>
    <col min="8" max="8" width="22.44140625" style="1" customWidth="1"/>
    <col min="9" max="9" width="22.5546875" style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166</v>
      </c>
      <c r="H1" s="1" t="s">
        <v>167</v>
      </c>
      <c r="I1" s="1" t="s">
        <v>168</v>
      </c>
    </row>
    <row r="2" spans="1:9" x14ac:dyDescent="0.3">
      <c r="A2" s="1">
        <v>1980</v>
      </c>
      <c r="B2" s="2">
        <v>524295</v>
      </c>
      <c r="C2" s="2">
        <v>207116</v>
      </c>
      <c r="D2" s="2">
        <v>910361</v>
      </c>
      <c r="E2" s="2">
        <v>18013</v>
      </c>
      <c r="F2" s="2">
        <v>719211</v>
      </c>
      <c r="G2" s="2">
        <f>B2+C2-E2-F2</f>
        <v>-5813</v>
      </c>
      <c r="H2" s="1">
        <f>(G2/250000)*100000</f>
        <v>-2325.1999999999998</v>
      </c>
    </row>
    <row r="3" spans="1:9" x14ac:dyDescent="0.3">
      <c r="A3" s="1">
        <v>1981</v>
      </c>
      <c r="B3" s="2">
        <v>595014</v>
      </c>
      <c r="C3" s="2">
        <v>159252</v>
      </c>
      <c r="D3" s="2">
        <v>975780</v>
      </c>
      <c r="E3" s="2">
        <v>17379</v>
      </c>
      <c r="F3" s="2">
        <v>823875</v>
      </c>
      <c r="G3" s="2">
        <f t="shared" ref="G3:G43" si="0">B3+C3-E3-F3</f>
        <v>-86988</v>
      </c>
      <c r="H3" s="1">
        <f t="shared" ref="H3:H43" si="1">(G3/250000)*100000</f>
        <v>-34795.199999999997</v>
      </c>
    </row>
    <row r="4" spans="1:9" x14ac:dyDescent="0.3">
      <c r="A4" s="1">
        <v>1982</v>
      </c>
      <c r="B4" s="2">
        <v>533624</v>
      </c>
      <c r="C4" s="2">
        <v>98096</v>
      </c>
      <c r="D4" s="2">
        <v>970246</v>
      </c>
      <c r="E4" s="2">
        <v>15216</v>
      </c>
      <c r="F4" s="2">
        <v>812572</v>
      </c>
      <c r="G4" s="2">
        <f t="shared" si="0"/>
        <v>-196068</v>
      </c>
      <c r="H4" s="1">
        <f t="shared" si="1"/>
        <v>-78427.199999999997</v>
      </c>
      <c r="I4" s="2">
        <f>AVERAGE(G2:G4)</f>
        <v>-96289.666666666672</v>
      </c>
    </row>
    <row r="5" spans="1:9" x14ac:dyDescent="0.3">
      <c r="A5" s="1">
        <v>1983</v>
      </c>
      <c r="B5" s="2">
        <v>550052</v>
      </c>
      <c r="C5" s="2">
        <v>61218</v>
      </c>
      <c r="D5" s="2">
        <v>1251357</v>
      </c>
      <c r="E5" s="2">
        <v>19211</v>
      </c>
      <c r="F5" s="2">
        <v>931600</v>
      </c>
      <c r="G5" s="2">
        <f t="shared" si="0"/>
        <v>-339541</v>
      </c>
      <c r="H5" s="1">
        <f t="shared" si="1"/>
        <v>-135816.4</v>
      </c>
      <c r="I5" s="2">
        <f t="shared" ref="I5:I43" si="2">AVERAGE(G3:G5)</f>
        <v>-207532.33333333334</v>
      </c>
    </row>
    <row r="6" spans="1:9" x14ac:dyDescent="0.3">
      <c r="A6" s="1">
        <v>1984</v>
      </c>
      <c r="B6" s="2">
        <v>541811</v>
      </c>
      <c r="C6" s="2">
        <v>70393</v>
      </c>
      <c r="D6" s="2">
        <v>1246981</v>
      </c>
      <c r="E6" s="2">
        <v>18696</v>
      </c>
      <c r="F6" s="2">
        <v>909833</v>
      </c>
      <c r="G6" s="2">
        <f t="shared" si="0"/>
        <v>-316325</v>
      </c>
      <c r="H6" s="1">
        <f t="shared" si="1"/>
        <v>-126530.00000000001</v>
      </c>
      <c r="I6" s="2">
        <f t="shared" si="2"/>
        <v>-283978</v>
      </c>
    </row>
    <row r="7" spans="1:9" x14ac:dyDescent="0.3">
      <c r="A7" s="1">
        <v>1985</v>
      </c>
      <c r="B7" s="2">
        <v>568149</v>
      </c>
      <c r="C7" s="2">
        <v>67704</v>
      </c>
      <c r="D7" s="2">
        <v>1348749</v>
      </c>
      <c r="E7" s="2">
        <v>23105</v>
      </c>
      <c r="F7" s="2">
        <v>1041296</v>
      </c>
      <c r="G7" s="2">
        <f t="shared" si="0"/>
        <v>-428548</v>
      </c>
      <c r="H7" s="1">
        <f t="shared" si="1"/>
        <v>-171419.19999999998</v>
      </c>
      <c r="I7" s="2">
        <f t="shared" si="2"/>
        <v>-361471.33333333331</v>
      </c>
    </row>
    <row r="8" spans="1:9" x14ac:dyDescent="0.3">
      <c r="A8" s="1">
        <v>1986</v>
      </c>
      <c r="B8" s="2">
        <v>600027</v>
      </c>
      <c r="C8" s="2">
        <v>62146</v>
      </c>
      <c r="D8" s="2">
        <v>1767400</v>
      </c>
      <c r="E8" s="2">
        <v>24592</v>
      </c>
      <c r="F8" s="2">
        <v>1586320</v>
      </c>
      <c r="G8" s="2">
        <f t="shared" si="0"/>
        <v>-948739</v>
      </c>
      <c r="H8" s="1">
        <f t="shared" si="1"/>
        <v>-379495.6</v>
      </c>
      <c r="I8" s="2">
        <f t="shared" si="2"/>
        <v>-564537.33333333337</v>
      </c>
    </row>
    <row r="9" spans="1:9" x14ac:dyDescent="0.3">
      <c r="A9" s="1">
        <v>1987</v>
      </c>
      <c r="B9" s="2">
        <v>599889</v>
      </c>
      <c r="C9" s="2">
        <v>64528</v>
      </c>
      <c r="D9" s="2">
        <v>1190488</v>
      </c>
      <c r="E9" s="2">
        <v>24336</v>
      </c>
      <c r="F9" s="2">
        <v>1091203</v>
      </c>
      <c r="G9" s="2">
        <f t="shared" si="0"/>
        <v>-451122</v>
      </c>
      <c r="H9" s="1">
        <f t="shared" si="1"/>
        <v>-180448.80000000002</v>
      </c>
      <c r="I9" s="2">
        <f t="shared" si="2"/>
        <v>-609469.66666666663</v>
      </c>
    </row>
    <row r="10" spans="1:9" x14ac:dyDescent="0.3">
      <c r="A10" s="1">
        <v>1988</v>
      </c>
      <c r="B10" s="2">
        <v>641346</v>
      </c>
      <c r="C10" s="2">
        <v>76483</v>
      </c>
      <c r="D10" s="2">
        <v>1008145</v>
      </c>
      <c r="E10" s="2">
        <v>25829</v>
      </c>
      <c r="F10" s="2">
        <v>911790</v>
      </c>
      <c r="G10" s="2">
        <f t="shared" si="0"/>
        <v>-219790</v>
      </c>
      <c r="H10" s="1">
        <f t="shared" si="1"/>
        <v>-87916</v>
      </c>
      <c r="I10" s="2">
        <f t="shared" si="2"/>
        <v>-539883.66666666663</v>
      </c>
    </row>
    <row r="11" spans="1:9" x14ac:dyDescent="0.3">
      <c r="A11" s="1">
        <v>1989</v>
      </c>
      <c r="B11" s="2">
        <v>1090172</v>
      </c>
      <c r="C11" s="2">
        <v>107070</v>
      </c>
      <c r="D11" s="2">
        <v>954243</v>
      </c>
      <c r="E11" s="2">
        <v>34427</v>
      </c>
      <c r="F11" s="2">
        <v>830890</v>
      </c>
      <c r="G11" s="2">
        <f t="shared" si="0"/>
        <v>331925</v>
      </c>
      <c r="H11" s="1">
        <f t="shared" si="1"/>
        <v>132770</v>
      </c>
      <c r="I11" s="2">
        <f t="shared" si="2"/>
        <v>-112995.66666666667</v>
      </c>
    </row>
    <row r="12" spans="1:9" x14ac:dyDescent="0.3">
      <c r="A12" s="1">
        <v>1990</v>
      </c>
      <c r="B12" s="2">
        <v>1535872</v>
      </c>
      <c r="C12" s="2">
        <v>122066</v>
      </c>
      <c r="D12" s="2">
        <v>1169939</v>
      </c>
      <c r="E12" s="2">
        <v>30039</v>
      </c>
      <c r="F12" s="2">
        <v>1022533</v>
      </c>
      <c r="G12" s="2">
        <f t="shared" si="0"/>
        <v>605366</v>
      </c>
      <c r="H12" s="1">
        <f t="shared" si="1"/>
        <v>242146.4</v>
      </c>
      <c r="I12" s="2">
        <f t="shared" si="2"/>
        <v>239167</v>
      </c>
    </row>
    <row r="13" spans="1:9" x14ac:dyDescent="0.3">
      <c r="A13" s="1">
        <v>1991</v>
      </c>
      <c r="B13" s="2">
        <v>1826595</v>
      </c>
      <c r="C13" s="2">
        <v>113389</v>
      </c>
      <c r="D13" s="2">
        <v>1197875</v>
      </c>
      <c r="E13" s="2">
        <v>33189</v>
      </c>
      <c r="F13" s="2">
        <v>1061105</v>
      </c>
      <c r="G13" s="2">
        <f t="shared" si="0"/>
        <v>845690</v>
      </c>
      <c r="H13" s="1">
        <f t="shared" si="1"/>
        <v>338276</v>
      </c>
      <c r="I13" s="2">
        <f t="shared" si="2"/>
        <v>594327</v>
      </c>
    </row>
    <row r="14" spans="1:9" x14ac:dyDescent="0.3">
      <c r="A14" s="1">
        <v>1992</v>
      </c>
      <c r="B14" s="2">
        <v>973445</v>
      </c>
      <c r="C14" s="2">
        <v>115548</v>
      </c>
      <c r="D14" s="2">
        <v>1258481</v>
      </c>
      <c r="E14" s="2">
        <v>43671</v>
      </c>
      <c r="F14" s="2">
        <v>1105829</v>
      </c>
      <c r="G14" s="2">
        <f t="shared" si="0"/>
        <v>-60507</v>
      </c>
      <c r="H14" s="1">
        <f t="shared" si="1"/>
        <v>-24202.799999999999</v>
      </c>
      <c r="I14" s="2">
        <f t="shared" si="2"/>
        <v>463516.33333333331</v>
      </c>
    </row>
    <row r="15" spans="1:9" x14ac:dyDescent="0.3">
      <c r="A15" s="1">
        <v>1993</v>
      </c>
      <c r="B15" s="2">
        <v>903916</v>
      </c>
      <c r="C15" s="2">
        <v>114181</v>
      </c>
      <c r="D15" s="2">
        <v>1327261</v>
      </c>
      <c r="E15" s="2">
        <v>42542</v>
      </c>
      <c r="F15" s="2">
        <v>1243410</v>
      </c>
      <c r="G15" s="2">
        <f t="shared" si="0"/>
        <v>-267855</v>
      </c>
      <c r="H15" s="1">
        <f t="shared" si="1"/>
        <v>-107142</v>
      </c>
      <c r="I15" s="2">
        <f t="shared" si="2"/>
        <v>172442.66666666666</v>
      </c>
    </row>
    <row r="16" spans="1:9" x14ac:dyDescent="0.3">
      <c r="A16" s="1">
        <v>1994</v>
      </c>
      <c r="B16" s="2">
        <v>803993</v>
      </c>
      <c r="C16" s="2">
        <v>111680</v>
      </c>
      <c r="D16" s="2">
        <v>1094719</v>
      </c>
      <c r="E16" s="2">
        <v>45674</v>
      </c>
      <c r="F16" s="2">
        <v>1029107</v>
      </c>
      <c r="G16" s="2">
        <f t="shared" si="0"/>
        <v>-159108</v>
      </c>
      <c r="H16" s="1">
        <f t="shared" si="1"/>
        <v>-63643.199999999997</v>
      </c>
      <c r="I16" s="2">
        <f t="shared" si="2"/>
        <v>-162490</v>
      </c>
    </row>
    <row r="17" spans="1:9" x14ac:dyDescent="0.3">
      <c r="A17" s="1">
        <v>1995</v>
      </c>
      <c r="B17" s="2">
        <v>720177</v>
      </c>
      <c r="C17" s="2">
        <v>98973</v>
      </c>
      <c r="D17" s="2">
        <v>1394554</v>
      </c>
      <c r="E17" s="2">
        <v>50924</v>
      </c>
      <c r="F17" s="2">
        <v>1313764</v>
      </c>
      <c r="G17" s="2">
        <f t="shared" si="0"/>
        <v>-545538</v>
      </c>
      <c r="H17" s="1">
        <f t="shared" si="1"/>
        <v>-218215.19999999998</v>
      </c>
      <c r="I17" s="2">
        <f t="shared" si="2"/>
        <v>-324167</v>
      </c>
    </row>
    <row r="18" spans="1:9" x14ac:dyDescent="0.3">
      <c r="A18" s="1">
        <v>1996</v>
      </c>
      <c r="B18" s="2">
        <v>915560</v>
      </c>
      <c r="C18" s="2">
        <v>75421</v>
      </c>
      <c r="D18" s="2">
        <v>1649986</v>
      </c>
      <c r="E18" s="2">
        <v>69680</v>
      </c>
      <c r="F18" s="2">
        <v>1573428</v>
      </c>
      <c r="G18" s="2">
        <f t="shared" si="0"/>
        <v>-652127</v>
      </c>
      <c r="H18" s="1">
        <f t="shared" si="1"/>
        <v>-260850.80000000002</v>
      </c>
      <c r="I18" s="2">
        <f t="shared" si="2"/>
        <v>-452257.66666666669</v>
      </c>
    </row>
    <row r="19" spans="1:9" x14ac:dyDescent="0.3">
      <c r="A19" s="1">
        <v>1997</v>
      </c>
      <c r="B19" s="2">
        <v>797847</v>
      </c>
      <c r="C19" s="2">
        <v>69653</v>
      </c>
      <c r="D19" s="2">
        <v>1536520</v>
      </c>
      <c r="E19" s="2">
        <v>114432</v>
      </c>
      <c r="F19" s="2">
        <v>1440684</v>
      </c>
      <c r="G19" s="2">
        <f t="shared" si="0"/>
        <v>-687616</v>
      </c>
      <c r="H19" s="1">
        <f t="shared" si="1"/>
        <v>-275046.40000000002</v>
      </c>
      <c r="I19" s="2">
        <f t="shared" si="2"/>
        <v>-628427</v>
      </c>
    </row>
    <row r="20" spans="1:9" x14ac:dyDescent="0.3">
      <c r="A20" s="1">
        <v>1998</v>
      </c>
      <c r="B20" s="2">
        <v>653206</v>
      </c>
      <c r="C20" s="2">
        <v>76712</v>
      </c>
      <c r="D20" s="2">
        <v>1679439</v>
      </c>
      <c r="E20" s="2">
        <v>174813</v>
      </c>
      <c r="F20" s="2">
        <v>1570127</v>
      </c>
      <c r="G20" s="2">
        <f t="shared" si="0"/>
        <v>-1015022</v>
      </c>
      <c r="H20" s="1">
        <f t="shared" si="1"/>
        <v>-406008.80000000005</v>
      </c>
      <c r="I20" s="2">
        <f t="shared" si="2"/>
        <v>-784921.66666666663</v>
      </c>
    </row>
    <row r="21" spans="1:9" x14ac:dyDescent="0.3">
      <c r="A21" s="1">
        <v>1999</v>
      </c>
      <c r="B21" s="2">
        <v>644787</v>
      </c>
      <c r="C21" s="2">
        <v>85285</v>
      </c>
      <c r="D21" s="2">
        <v>1714035</v>
      </c>
      <c r="E21" s="2">
        <v>183114</v>
      </c>
      <c r="F21" s="2">
        <v>1574863</v>
      </c>
      <c r="G21" s="2">
        <f t="shared" si="0"/>
        <v>-1027905</v>
      </c>
      <c r="H21" s="1">
        <f t="shared" si="1"/>
        <v>-411162</v>
      </c>
      <c r="I21" s="2">
        <f t="shared" si="2"/>
        <v>-910181</v>
      </c>
    </row>
    <row r="22" spans="1:9" x14ac:dyDescent="0.3">
      <c r="A22" s="1">
        <v>2000</v>
      </c>
      <c r="B22" s="2">
        <v>841002</v>
      </c>
      <c r="C22" s="2">
        <v>72165</v>
      </c>
      <c r="D22" s="2">
        <v>1814729</v>
      </c>
      <c r="E22" s="2">
        <v>188467</v>
      </c>
      <c r="F22" s="2">
        <v>1675876</v>
      </c>
      <c r="G22" s="2">
        <f t="shared" si="0"/>
        <v>-951176</v>
      </c>
      <c r="H22" s="1">
        <f t="shared" si="1"/>
        <v>-380470.4</v>
      </c>
      <c r="I22" s="2">
        <f t="shared" si="2"/>
        <v>-998034.33333333337</v>
      </c>
    </row>
    <row r="23" spans="1:9" x14ac:dyDescent="0.3">
      <c r="A23" s="1">
        <v>2001</v>
      </c>
      <c r="B23" s="2">
        <v>1058902</v>
      </c>
      <c r="C23" s="2">
        <v>68920</v>
      </c>
      <c r="D23" s="2">
        <v>1387486</v>
      </c>
      <c r="E23" s="2">
        <v>189026</v>
      </c>
      <c r="F23" s="2">
        <v>1349371</v>
      </c>
      <c r="G23" s="2">
        <f t="shared" si="0"/>
        <v>-410575</v>
      </c>
      <c r="H23" s="1">
        <f t="shared" si="1"/>
        <v>-164230</v>
      </c>
      <c r="I23" s="2">
        <f t="shared" si="2"/>
        <v>-796552</v>
      </c>
    </row>
    <row r="24" spans="1:9" x14ac:dyDescent="0.3">
      <c r="A24" s="1">
        <v>2002</v>
      </c>
      <c r="B24" s="2">
        <v>1059356</v>
      </c>
      <c r="C24" s="2">
        <v>26785</v>
      </c>
      <c r="D24" s="2">
        <v>1062270</v>
      </c>
      <c r="E24" s="2">
        <v>165168</v>
      </c>
      <c r="F24" s="2">
        <v>1012116</v>
      </c>
      <c r="G24" s="2">
        <f t="shared" si="0"/>
        <v>-91143</v>
      </c>
      <c r="H24" s="1">
        <f t="shared" si="1"/>
        <v>-36457.199999999997</v>
      </c>
      <c r="I24" s="2">
        <f t="shared" si="2"/>
        <v>-484298</v>
      </c>
    </row>
    <row r="25" spans="1:9" x14ac:dyDescent="0.3">
      <c r="A25" s="1">
        <v>2003</v>
      </c>
      <c r="B25" s="2">
        <v>703542</v>
      </c>
      <c r="C25" s="2">
        <v>28286</v>
      </c>
      <c r="D25" s="2">
        <v>1046422</v>
      </c>
      <c r="E25" s="2">
        <v>211098</v>
      </c>
      <c r="F25" s="2">
        <v>945294</v>
      </c>
      <c r="G25" s="2">
        <f t="shared" si="0"/>
        <v>-424564</v>
      </c>
      <c r="H25" s="1">
        <f t="shared" si="1"/>
        <v>-169825.6</v>
      </c>
      <c r="I25" s="2">
        <f t="shared" si="2"/>
        <v>-308760.66666666669</v>
      </c>
    </row>
    <row r="26" spans="1:9" x14ac:dyDescent="0.3">
      <c r="A26" s="1">
        <v>2004</v>
      </c>
      <c r="B26" s="2">
        <v>957883</v>
      </c>
      <c r="C26" s="2">
        <v>52840</v>
      </c>
      <c r="D26" s="2">
        <v>1264232</v>
      </c>
      <c r="E26" s="2">
        <v>240665</v>
      </c>
      <c r="F26" s="2">
        <v>1166576</v>
      </c>
      <c r="G26" s="2">
        <f t="shared" si="0"/>
        <v>-396518</v>
      </c>
      <c r="H26" s="1">
        <f t="shared" si="1"/>
        <v>-158607.19999999998</v>
      </c>
      <c r="I26" s="2">
        <f t="shared" si="2"/>
        <v>-304075</v>
      </c>
    </row>
    <row r="27" spans="1:9" x14ac:dyDescent="0.3">
      <c r="A27" s="1">
        <v>2005</v>
      </c>
      <c r="B27" s="2">
        <v>1122257</v>
      </c>
      <c r="C27" s="2">
        <v>53738</v>
      </c>
      <c r="D27" s="2">
        <v>1291065</v>
      </c>
      <c r="E27" s="2">
        <v>246431</v>
      </c>
      <c r="F27" s="2">
        <v>1096920</v>
      </c>
      <c r="G27" s="2">
        <f t="shared" si="0"/>
        <v>-167356</v>
      </c>
      <c r="H27" s="1">
        <f t="shared" si="1"/>
        <v>-66942.400000000009</v>
      </c>
      <c r="I27" s="2">
        <f t="shared" si="2"/>
        <v>-329479.33333333331</v>
      </c>
    </row>
    <row r="28" spans="1:9" x14ac:dyDescent="0.3">
      <c r="A28" s="1">
        <v>2006</v>
      </c>
      <c r="B28" s="2">
        <v>1266129</v>
      </c>
      <c r="C28" s="2">
        <v>41094</v>
      </c>
      <c r="D28" s="2">
        <v>1206408</v>
      </c>
      <c r="E28" s="2">
        <v>280974</v>
      </c>
      <c r="F28" s="2">
        <v>1043381</v>
      </c>
      <c r="G28" s="2">
        <f t="shared" si="0"/>
        <v>-17132</v>
      </c>
      <c r="H28" s="1">
        <f t="shared" si="1"/>
        <v>-6852.8</v>
      </c>
      <c r="I28" s="2">
        <f t="shared" si="2"/>
        <v>-193668.66666666666</v>
      </c>
    </row>
    <row r="29" spans="1:9" x14ac:dyDescent="0.3">
      <c r="A29" s="1">
        <v>2007</v>
      </c>
      <c r="B29" s="2">
        <v>1052415</v>
      </c>
      <c r="C29" s="2">
        <v>48218</v>
      </c>
      <c r="D29" s="2">
        <v>960673</v>
      </c>
      <c r="E29" s="2">
        <v>319382</v>
      </c>
      <c r="F29" s="2">
        <v>891390</v>
      </c>
      <c r="G29" s="2">
        <f t="shared" si="0"/>
        <v>-110139</v>
      </c>
      <c r="H29" s="1">
        <f t="shared" si="1"/>
        <v>-44055.6</v>
      </c>
      <c r="I29" s="2">
        <f t="shared" si="2"/>
        <v>-98209</v>
      </c>
    </row>
    <row r="30" spans="1:9" x14ac:dyDescent="0.3">
      <c r="A30" s="1">
        <v>2008</v>
      </c>
      <c r="B30" s="2">
        <v>1107126</v>
      </c>
      <c r="C30" s="2">
        <v>60107</v>
      </c>
      <c r="D30" s="2">
        <v>1043759</v>
      </c>
      <c r="E30" s="2">
        <v>359795</v>
      </c>
      <c r="F30" s="2">
        <v>811263</v>
      </c>
      <c r="G30" s="2">
        <f t="shared" si="0"/>
        <v>-3825</v>
      </c>
      <c r="H30" s="1">
        <f t="shared" si="1"/>
        <v>-1530</v>
      </c>
      <c r="I30" s="2">
        <f t="shared" si="2"/>
        <v>-43698.666666666664</v>
      </c>
    </row>
    <row r="31" spans="1:9" x14ac:dyDescent="0.3">
      <c r="A31" s="1">
        <v>2009</v>
      </c>
      <c r="B31" s="2">
        <v>1130818</v>
      </c>
      <c r="C31" s="2">
        <v>74602</v>
      </c>
      <c r="D31" s="2">
        <v>889212</v>
      </c>
      <c r="E31" s="2">
        <v>379739</v>
      </c>
      <c r="F31" s="2">
        <v>582567</v>
      </c>
      <c r="G31" s="2">
        <f t="shared" si="0"/>
        <v>243114</v>
      </c>
      <c r="H31" s="1">
        <f t="shared" si="1"/>
        <v>97245.6</v>
      </c>
      <c r="I31" s="2">
        <f t="shared" si="2"/>
        <v>43050</v>
      </c>
    </row>
    <row r="32" spans="1:9" x14ac:dyDescent="0.3">
      <c r="A32" s="1">
        <v>2010</v>
      </c>
      <c r="B32" s="2">
        <v>1042625</v>
      </c>
      <c r="C32" s="2">
        <v>73293</v>
      </c>
      <c r="D32" s="2">
        <v>796587</v>
      </c>
      <c r="E32" s="2">
        <v>382449</v>
      </c>
      <c r="F32" s="2">
        <v>471798</v>
      </c>
      <c r="G32" s="2">
        <f t="shared" si="0"/>
        <v>261671</v>
      </c>
      <c r="H32" s="1">
        <f t="shared" si="1"/>
        <v>104668.4</v>
      </c>
      <c r="I32" s="2">
        <f t="shared" si="2"/>
        <v>166986.66666666666</v>
      </c>
    </row>
    <row r="33" spans="1:9" x14ac:dyDescent="0.3">
      <c r="A33" s="1">
        <v>2011</v>
      </c>
      <c r="B33" s="2">
        <v>1062040</v>
      </c>
      <c r="C33" s="2">
        <v>56384</v>
      </c>
      <c r="D33" s="2">
        <v>678606</v>
      </c>
      <c r="E33" s="2">
        <v>390413</v>
      </c>
      <c r="F33" s="2">
        <v>322046</v>
      </c>
      <c r="G33" s="2">
        <f t="shared" si="0"/>
        <v>405965</v>
      </c>
      <c r="H33" s="1">
        <f t="shared" si="1"/>
        <v>162386</v>
      </c>
      <c r="I33" s="2">
        <f t="shared" si="2"/>
        <v>303583.33333333331</v>
      </c>
    </row>
    <row r="34" spans="1:9" x14ac:dyDescent="0.3">
      <c r="A34" s="1">
        <v>2012</v>
      </c>
      <c r="B34" s="2">
        <v>1031631</v>
      </c>
      <c r="C34" s="2">
        <v>58179</v>
      </c>
      <c r="D34" s="2">
        <v>795735</v>
      </c>
      <c r="E34" s="2">
        <v>415579</v>
      </c>
      <c r="F34" s="2">
        <v>231105</v>
      </c>
      <c r="G34" s="2">
        <f t="shared" si="0"/>
        <v>443126</v>
      </c>
      <c r="H34" s="1">
        <f t="shared" si="1"/>
        <v>177250.4</v>
      </c>
      <c r="I34" s="2">
        <f t="shared" si="2"/>
        <v>370254</v>
      </c>
    </row>
    <row r="35" spans="1:9" x14ac:dyDescent="0.3">
      <c r="A35" s="1">
        <v>2013</v>
      </c>
      <c r="B35" s="2">
        <v>990553</v>
      </c>
      <c r="C35" s="2">
        <v>69909</v>
      </c>
      <c r="D35" s="2">
        <v>786223</v>
      </c>
      <c r="E35" s="2">
        <v>432201</v>
      </c>
      <c r="F35" s="2">
        <v>178973</v>
      </c>
      <c r="G35" s="2">
        <f t="shared" si="0"/>
        <v>449288</v>
      </c>
      <c r="H35" s="1">
        <f t="shared" si="1"/>
        <v>179715.20000000001</v>
      </c>
      <c r="I35" s="2">
        <f t="shared" si="2"/>
        <v>432793</v>
      </c>
    </row>
    <row r="36" spans="1:9" x14ac:dyDescent="0.3">
      <c r="A36" s="1">
        <v>2014</v>
      </c>
      <c r="B36" s="2">
        <v>1016518</v>
      </c>
      <c r="C36" s="2">
        <v>69975</v>
      </c>
      <c r="D36" s="2">
        <v>805334</v>
      </c>
      <c r="E36" s="2">
        <v>405026</v>
      </c>
      <c r="F36" s="2">
        <v>163836</v>
      </c>
      <c r="G36" s="2">
        <f t="shared" si="0"/>
        <v>517631</v>
      </c>
      <c r="H36" s="1">
        <f t="shared" si="1"/>
        <v>207052.4</v>
      </c>
      <c r="I36" s="2">
        <f t="shared" si="2"/>
        <v>470015</v>
      </c>
    </row>
    <row r="37" spans="1:9" x14ac:dyDescent="0.3">
      <c r="A37" s="1">
        <v>2015</v>
      </c>
      <c r="B37" s="2">
        <v>1051031</v>
      </c>
      <c r="C37" s="2">
        <v>69920</v>
      </c>
      <c r="D37" s="2">
        <v>596560</v>
      </c>
      <c r="E37" s="2">
        <v>324303</v>
      </c>
      <c r="F37" s="2">
        <v>129636</v>
      </c>
      <c r="G37" s="2">
        <f t="shared" si="0"/>
        <v>667012</v>
      </c>
      <c r="H37" s="1">
        <f t="shared" si="1"/>
        <v>266804.80000000005</v>
      </c>
      <c r="I37" s="2">
        <f t="shared" si="2"/>
        <v>544643.66666666663</v>
      </c>
    </row>
    <row r="38" spans="1:9" x14ac:dyDescent="0.3">
      <c r="A38" s="1">
        <v>2016</v>
      </c>
      <c r="B38" s="2">
        <v>1183505</v>
      </c>
      <c r="C38" s="2">
        <v>84989</v>
      </c>
      <c r="D38" s="2">
        <v>683782</v>
      </c>
      <c r="E38" s="2">
        <v>332263</v>
      </c>
      <c r="F38" s="2">
        <v>106479</v>
      </c>
      <c r="G38" s="2">
        <f t="shared" si="0"/>
        <v>829752</v>
      </c>
      <c r="H38" s="1">
        <f t="shared" si="1"/>
        <v>331900.80000000005</v>
      </c>
      <c r="I38" s="2">
        <f t="shared" si="2"/>
        <v>671465</v>
      </c>
    </row>
    <row r="39" spans="1:9" x14ac:dyDescent="0.3">
      <c r="A39" s="1">
        <v>2017</v>
      </c>
      <c r="B39" s="2">
        <v>1127167</v>
      </c>
      <c r="C39" s="2">
        <v>53691</v>
      </c>
      <c r="D39" s="2">
        <v>607677</v>
      </c>
      <c r="E39" s="2">
        <v>284298</v>
      </c>
      <c r="F39" s="2">
        <v>100454</v>
      </c>
      <c r="G39" s="2">
        <f t="shared" si="0"/>
        <v>796106</v>
      </c>
      <c r="H39" s="1">
        <f t="shared" si="1"/>
        <v>318442.39999999997</v>
      </c>
      <c r="I39" s="2">
        <f t="shared" si="2"/>
        <v>764290</v>
      </c>
    </row>
    <row r="40" spans="1:9" x14ac:dyDescent="0.3">
      <c r="A40" s="1">
        <v>2018</v>
      </c>
      <c r="B40" s="2">
        <v>1096611</v>
      </c>
      <c r="C40" s="2">
        <v>22405</v>
      </c>
      <c r="D40" s="2">
        <v>739486</v>
      </c>
      <c r="E40" s="2">
        <v>327554</v>
      </c>
      <c r="F40" s="2">
        <v>159960</v>
      </c>
      <c r="G40" s="2">
        <f t="shared" si="0"/>
        <v>631502</v>
      </c>
      <c r="H40" s="1">
        <f t="shared" si="1"/>
        <v>252600.80000000002</v>
      </c>
      <c r="I40" s="2">
        <f t="shared" si="2"/>
        <v>752453.33333333337</v>
      </c>
    </row>
    <row r="41" spans="1:9" x14ac:dyDescent="0.3">
      <c r="A41" s="1">
        <v>2019</v>
      </c>
      <c r="B41" s="2">
        <v>1031765</v>
      </c>
      <c r="C41" s="2">
        <v>29916</v>
      </c>
      <c r="D41" s="2">
        <v>1175841</v>
      </c>
      <c r="E41" s="2">
        <v>347183</v>
      </c>
      <c r="F41" s="2">
        <v>171125</v>
      </c>
      <c r="G41" s="2">
        <f t="shared" si="0"/>
        <v>543373</v>
      </c>
      <c r="H41" s="1">
        <f t="shared" si="1"/>
        <v>217349.2</v>
      </c>
      <c r="I41" s="2">
        <f t="shared" si="2"/>
        <v>656993.66666666663</v>
      </c>
    </row>
    <row r="42" spans="1:9" x14ac:dyDescent="0.3">
      <c r="A42" s="1">
        <v>2020</v>
      </c>
      <c r="B42" s="2">
        <v>707362</v>
      </c>
      <c r="C42" s="2">
        <v>11840</v>
      </c>
      <c r="D42" s="2">
        <v>609265</v>
      </c>
      <c r="E42" s="2">
        <v>237861</v>
      </c>
      <c r="F42" s="2">
        <v>167453</v>
      </c>
      <c r="G42" s="2">
        <f t="shared" si="0"/>
        <v>313888</v>
      </c>
      <c r="H42" s="1">
        <f t="shared" si="1"/>
        <v>125555.2</v>
      </c>
      <c r="I42" s="2">
        <f t="shared" si="2"/>
        <v>496254.33333333331</v>
      </c>
    </row>
    <row r="43" spans="1:9" x14ac:dyDescent="0.3">
      <c r="A43" s="1">
        <v>2021</v>
      </c>
      <c r="B43" s="2">
        <v>740002</v>
      </c>
      <c r="C43" s="2">
        <v>11454</v>
      </c>
      <c r="D43" s="2">
        <v>1865379</v>
      </c>
      <c r="E43" s="2">
        <v>89191</v>
      </c>
      <c r="F43" s="2">
        <v>178227</v>
      </c>
      <c r="G43" s="2">
        <f t="shared" si="0"/>
        <v>484038</v>
      </c>
      <c r="H43" s="1">
        <f t="shared" si="1"/>
        <v>193615.2</v>
      </c>
      <c r="I43" s="2">
        <f t="shared" si="2"/>
        <v>447099.66666666669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6416-DFEA-4002-B507-2F3109FC46EF}">
  <dimension ref="A1:AQ28"/>
  <sheetViews>
    <sheetView topLeftCell="A2" zoomScale="102" zoomScaleNormal="102" workbookViewId="0">
      <selection activeCell="B27" sqref="B27"/>
    </sheetView>
  </sheetViews>
  <sheetFormatPr defaultRowHeight="14.4" x14ac:dyDescent="0.3"/>
  <cols>
    <col min="1" max="1" width="55.33203125" customWidth="1"/>
  </cols>
  <sheetData>
    <row r="1" spans="1:43" x14ac:dyDescent="0.3">
      <c r="A1" s="4" t="s">
        <v>7</v>
      </c>
      <c r="B1" s="4">
        <v>1980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</row>
    <row r="2" spans="1:43" x14ac:dyDescent="0.3">
      <c r="A2" s="3" t="s">
        <v>7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  <c r="H2" s="3" t="s">
        <v>7</v>
      </c>
      <c r="I2" s="3" t="s">
        <v>7</v>
      </c>
      <c r="J2" s="3" t="s">
        <v>7</v>
      </c>
      <c r="K2" s="3" t="s">
        <v>7</v>
      </c>
      <c r="L2" s="3" t="s">
        <v>7</v>
      </c>
      <c r="M2" s="3" t="s">
        <v>7</v>
      </c>
      <c r="N2" s="3" t="s">
        <v>7</v>
      </c>
      <c r="O2" s="3" t="s">
        <v>7</v>
      </c>
      <c r="P2" s="3" t="s">
        <v>7</v>
      </c>
      <c r="Q2" s="3" t="s">
        <v>7</v>
      </c>
      <c r="R2" s="3" t="s">
        <v>7</v>
      </c>
      <c r="S2" s="3" t="s">
        <v>7</v>
      </c>
      <c r="T2" s="3" t="s">
        <v>7</v>
      </c>
      <c r="U2" s="3" t="s">
        <v>7</v>
      </c>
      <c r="V2" s="3" t="s">
        <v>7</v>
      </c>
      <c r="W2" s="3" t="s">
        <v>7</v>
      </c>
      <c r="X2" s="3" t="s">
        <v>7</v>
      </c>
      <c r="Y2" s="3" t="s">
        <v>7</v>
      </c>
      <c r="Z2" s="3" t="s">
        <v>7</v>
      </c>
      <c r="AA2" s="3" t="s">
        <v>7</v>
      </c>
      <c r="AB2" s="3" t="s">
        <v>7</v>
      </c>
      <c r="AC2" s="3" t="s">
        <v>7</v>
      </c>
      <c r="AD2" s="3" t="s">
        <v>7</v>
      </c>
      <c r="AE2" s="3" t="s">
        <v>7</v>
      </c>
      <c r="AF2" s="3" t="s">
        <v>7</v>
      </c>
      <c r="AG2" s="3" t="s">
        <v>7</v>
      </c>
      <c r="AH2" s="3" t="s">
        <v>7</v>
      </c>
      <c r="AI2" s="3" t="s">
        <v>7</v>
      </c>
      <c r="AJ2" s="3" t="s">
        <v>7</v>
      </c>
      <c r="AK2" s="3" t="s">
        <v>7</v>
      </c>
      <c r="AL2" s="3" t="s">
        <v>7</v>
      </c>
      <c r="AM2" s="3" t="s">
        <v>7</v>
      </c>
      <c r="AN2" s="3" t="s">
        <v>7</v>
      </c>
      <c r="AO2" s="3" t="s">
        <v>7</v>
      </c>
      <c r="AP2" s="3" t="s">
        <v>7</v>
      </c>
      <c r="AQ2" s="3" t="s">
        <v>7</v>
      </c>
    </row>
    <row r="3" spans="1:43" x14ac:dyDescent="0.3">
      <c r="A3" s="5" t="s">
        <v>51</v>
      </c>
      <c r="B3" s="5">
        <v>2857.3</v>
      </c>
      <c r="C3" s="5">
        <v>3207</v>
      </c>
      <c r="D3" s="5">
        <v>3343.8</v>
      </c>
      <c r="E3" s="5">
        <v>3634</v>
      </c>
      <c r="F3" s="5">
        <v>4037.6</v>
      </c>
      <c r="G3" s="5">
        <v>4339</v>
      </c>
      <c r="H3" s="5">
        <v>4579.6000000000004</v>
      </c>
      <c r="I3" s="5">
        <v>4855.2</v>
      </c>
      <c r="J3" s="5">
        <v>5236.3999999999996</v>
      </c>
      <c r="K3" s="5">
        <v>5641.6</v>
      </c>
      <c r="L3" s="5">
        <v>5963.1</v>
      </c>
      <c r="M3" s="5">
        <v>6158.1</v>
      </c>
      <c r="N3" s="5">
        <v>6520.3</v>
      </c>
      <c r="O3" s="5">
        <v>6858.6</v>
      </c>
      <c r="P3" s="5">
        <v>7287.2</v>
      </c>
      <c r="Q3" s="5">
        <v>7639.7</v>
      </c>
      <c r="R3" s="5">
        <v>8073.1</v>
      </c>
      <c r="S3" s="5">
        <v>8577.6</v>
      </c>
      <c r="T3" s="5">
        <v>9062.7999999999993</v>
      </c>
      <c r="U3" s="5">
        <v>9631.2000000000007</v>
      </c>
      <c r="V3" s="5">
        <v>10251</v>
      </c>
      <c r="W3" s="5">
        <v>10581.9</v>
      </c>
      <c r="X3" s="5">
        <v>10929.1</v>
      </c>
      <c r="Y3" s="5">
        <v>11456.5</v>
      </c>
      <c r="Z3" s="5">
        <v>12217.2</v>
      </c>
      <c r="AA3" s="5">
        <v>13039.2</v>
      </c>
      <c r="AB3" s="5">
        <v>13815.6</v>
      </c>
      <c r="AC3" s="5">
        <v>14474.2</v>
      </c>
      <c r="AD3" s="5">
        <v>14769.9</v>
      </c>
      <c r="AE3" s="5">
        <v>14478.1</v>
      </c>
      <c r="AF3" s="5">
        <v>15049</v>
      </c>
      <c r="AG3" s="5">
        <v>15599.7</v>
      </c>
      <c r="AH3" s="5">
        <v>16254</v>
      </c>
      <c r="AI3" s="5">
        <v>16880.7</v>
      </c>
      <c r="AJ3" s="5">
        <v>17608.099999999999</v>
      </c>
      <c r="AK3" s="5">
        <v>18295</v>
      </c>
      <c r="AL3" s="5">
        <v>18804.900000000001</v>
      </c>
      <c r="AM3" s="5">
        <v>19612.099999999999</v>
      </c>
      <c r="AN3" s="5">
        <v>20656.5</v>
      </c>
      <c r="AO3" s="5">
        <v>21540</v>
      </c>
      <c r="AP3" s="5">
        <v>21375.3</v>
      </c>
      <c r="AQ3" s="5">
        <v>23725.599999999999</v>
      </c>
    </row>
    <row r="4" spans="1:43" x14ac:dyDescent="0.3">
      <c r="A4" s="5" t="s">
        <v>53</v>
      </c>
      <c r="B4" s="5">
        <v>1750.7</v>
      </c>
      <c r="C4" s="5">
        <v>1934</v>
      </c>
      <c r="D4" s="5">
        <v>2071.3000000000002</v>
      </c>
      <c r="E4" s="5">
        <v>2281.6</v>
      </c>
      <c r="F4" s="5">
        <v>2492.3000000000002</v>
      </c>
      <c r="G4" s="5">
        <v>2712.8</v>
      </c>
      <c r="H4" s="5">
        <v>2886.3</v>
      </c>
      <c r="I4" s="5">
        <v>3076.3</v>
      </c>
      <c r="J4" s="5">
        <v>3330</v>
      </c>
      <c r="K4" s="5">
        <v>3576.8</v>
      </c>
      <c r="L4" s="5">
        <v>3809</v>
      </c>
      <c r="M4" s="5">
        <v>3943.4</v>
      </c>
      <c r="N4" s="5">
        <v>4197.6000000000004</v>
      </c>
      <c r="O4" s="5">
        <v>4452</v>
      </c>
      <c r="P4" s="5">
        <v>4721</v>
      </c>
      <c r="Q4" s="5">
        <v>4962.6000000000004</v>
      </c>
      <c r="R4" s="5">
        <v>5244.6</v>
      </c>
      <c r="S4" s="5">
        <v>5536.8</v>
      </c>
      <c r="T4" s="5">
        <v>5877.2</v>
      </c>
      <c r="U4" s="5">
        <v>6283.8</v>
      </c>
      <c r="V4" s="5">
        <v>6767.2</v>
      </c>
      <c r="W4" s="5">
        <v>7073.8</v>
      </c>
      <c r="X4" s="5">
        <v>7348.9</v>
      </c>
      <c r="Y4" s="5">
        <v>7740.7</v>
      </c>
      <c r="Z4" s="5">
        <v>8232</v>
      </c>
      <c r="AA4" s="5">
        <v>8769.1</v>
      </c>
      <c r="AB4" s="5">
        <v>9277.2000000000007</v>
      </c>
      <c r="AC4" s="5">
        <v>9746.6</v>
      </c>
      <c r="AD4" s="5">
        <v>10050.1</v>
      </c>
      <c r="AE4" s="5">
        <v>9891.2000000000007</v>
      </c>
      <c r="AF4" s="5">
        <v>10260.299999999999</v>
      </c>
      <c r="AG4" s="5">
        <v>10698.9</v>
      </c>
      <c r="AH4" s="5">
        <v>11047.4</v>
      </c>
      <c r="AI4" s="5">
        <v>11388.2</v>
      </c>
      <c r="AJ4" s="5">
        <v>11874.5</v>
      </c>
      <c r="AK4" s="5">
        <v>12297.4</v>
      </c>
      <c r="AL4" s="5">
        <v>12726.8</v>
      </c>
      <c r="AM4" s="5">
        <v>13290.6</v>
      </c>
      <c r="AN4" s="5">
        <v>13934.4</v>
      </c>
      <c r="AO4" s="5">
        <v>14437.5</v>
      </c>
      <c r="AP4" s="5">
        <v>14231.4</v>
      </c>
      <c r="AQ4" s="5">
        <v>16119.7</v>
      </c>
    </row>
    <row r="5" spans="1:43" x14ac:dyDescent="0.3">
      <c r="A5" s="3" t="s">
        <v>55</v>
      </c>
      <c r="B5" s="3">
        <v>799.8</v>
      </c>
      <c r="C5" s="3">
        <v>869.4</v>
      </c>
      <c r="D5" s="3">
        <v>899.3</v>
      </c>
      <c r="E5" s="3">
        <v>973.8</v>
      </c>
      <c r="F5" s="3">
        <v>1063.7</v>
      </c>
      <c r="G5" s="3">
        <v>1137.5999999999999</v>
      </c>
      <c r="H5" s="3">
        <v>1195.5999999999999</v>
      </c>
      <c r="I5" s="3">
        <v>1256.3</v>
      </c>
      <c r="J5" s="3">
        <v>1337.3</v>
      </c>
      <c r="K5" s="3">
        <v>1423.8</v>
      </c>
      <c r="L5" s="3">
        <v>1491.3</v>
      </c>
      <c r="M5" s="3">
        <v>1497.4</v>
      </c>
      <c r="N5" s="3">
        <v>1563.3</v>
      </c>
      <c r="O5" s="3">
        <v>1642.3</v>
      </c>
      <c r="P5" s="3">
        <v>1746.6</v>
      </c>
      <c r="Q5" s="3">
        <v>1815.5</v>
      </c>
      <c r="R5" s="3">
        <v>1917.7</v>
      </c>
      <c r="S5" s="3">
        <v>2006.5</v>
      </c>
      <c r="T5" s="3">
        <v>2108.4</v>
      </c>
      <c r="U5" s="3">
        <v>2287.1</v>
      </c>
      <c r="V5" s="3">
        <v>2453.1999999999998</v>
      </c>
      <c r="W5" s="3">
        <v>2525.6</v>
      </c>
      <c r="X5" s="3">
        <v>2598.8000000000002</v>
      </c>
      <c r="Y5" s="3">
        <v>2722.6</v>
      </c>
      <c r="Z5" s="3">
        <v>2902</v>
      </c>
      <c r="AA5" s="3">
        <v>3082.9</v>
      </c>
      <c r="AB5" s="3">
        <v>3239.7</v>
      </c>
      <c r="AC5" s="3">
        <v>3367</v>
      </c>
      <c r="AD5" s="3">
        <v>3363.2</v>
      </c>
      <c r="AE5" s="3">
        <v>3180</v>
      </c>
      <c r="AF5" s="3">
        <v>3317.8</v>
      </c>
      <c r="AG5" s="3">
        <v>3518.1</v>
      </c>
      <c r="AH5" s="3">
        <v>3637.7</v>
      </c>
      <c r="AI5" s="3">
        <v>3742.2</v>
      </c>
      <c r="AJ5" s="3">
        <v>3886.6</v>
      </c>
      <c r="AK5" s="3">
        <v>3955.1</v>
      </c>
      <c r="AL5" s="3">
        <v>4033</v>
      </c>
      <c r="AM5" s="3">
        <v>4212.2</v>
      </c>
      <c r="AN5" s="3">
        <v>4414.2</v>
      </c>
      <c r="AO5" s="3">
        <v>4532.8</v>
      </c>
      <c r="AP5" s="3">
        <v>4708.6000000000004</v>
      </c>
      <c r="AQ5" s="3">
        <v>5499.4</v>
      </c>
    </row>
    <row r="6" spans="1:43" x14ac:dyDescent="0.3">
      <c r="A6" s="3" t="s">
        <v>57</v>
      </c>
      <c r="B6" s="3">
        <v>226.4</v>
      </c>
      <c r="C6" s="3">
        <v>243.9</v>
      </c>
      <c r="D6" s="3">
        <v>253</v>
      </c>
      <c r="E6" s="3">
        <v>295</v>
      </c>
      <c r="F6" s="3">
        <v>342.2</v>
      </c>
      <c r="G6" s="3">
        <v>380.4</v>
      </c>
      <c r="H6" s="3">
        <v>421.4</v>
      </c>
      <c r="I6" s="3">
        <v>442</v>
      </c>
      <c r="J6" s="3">
        <v>475.1</v>
      </c>
      <c r="K6" s="3">
        <v>494.3</v>
      </c>
      <c r="L6" s="3">
        <v>497.1</v>
      </c>
      <c r="M6" s="3">
        <v>477.2</v>
      </c>
      <c r="N6" s="3">
        <v>508.1</v>
      </c>
      <c r="O6" s="3">
        <v>551.5</v>
      </c>
      <c r="P6" s="3">
        <v>607.20000000000005</v>
      </c>
      <c r="Q6" s="3">
        <v>635.70000000000005</v>
      </c>
      <c r="R6" s="3">
        <v>676.3</v>
      </c>
      <c r="S6" s="3">
        <v>715.5</v>
      </c>
      <c r="T6" s="3">
        <v>779.3</v>
      </c>
      <c r="U6" s="3">
        <v>855.6</v>
      </c>
      <c r="V6" s="3">
        <v>912.6</v>
      </c>
      <c r="W6" s="3">
        <v>941.5</v>
      </c>
      <c r="X6" s="3">
        <v>985.4</v>
      </c>
      <c r="Y6" s="3">
        <v>1017.8</v>
      </c>
      <c r="Z6" s="3">
        <v>1080.5999999999999</v>
      </c>
      <c r="AA6" s="3">
        <v>1128.5999999999999</v>
      </c>
      <c r="AB6" s="3">
        <v>1158.3</v>
      </c>
      <c r="AC6" s="3">
        <v>1188</v>
      </c>
      <c r="AD6" s="3">
        <v>1098.8</v>
      </c>
      <c r="AE6" s="3">
        <v>1012.1</v>
      </c>
      <c r="AF6" s="3">
        <v>1049</v>
      </c>
      <c r="AG6" s="3">
        <v>1093.5</v>
      </c>
      <c r="AH6" s="3">
        <v>1144.2</v>
      </c>
      <c r="AI6" s="3">
        <v>1191.8</v>
      </c>
      <c r="AJ6" s="3">
        <v>1247.3</v>
      </c>
      <c r="AK6" s="3">
        <v>1315.8</v>
      </c>
      <c r="AL6" s="3">
        <v>1356.5</v>
      </c>
      <c r="AM6" s="3">
        <v>1415.9</v>
      </c>
      <c r="AN6" s="3">
        <v>1488.8</v>
      </c>
      <c r="AO6" s="3">
        <v>1523.6</v>
      </c>
      <c r="AP6" s="3">
        <v>1621.7</v>
      </c>
      <c r="AQ6" s="3">
        <v>1991.9</v>
      </c>
    </row>
    <row r="7" spans="1:43" x14ac:dyDescent="0.3">
      <c r="A7" s="3" t="s">
        <v>59</v>
      </c>
      <c r="B7" s="3">
        <v>573.4</v>
      </c>
      <c r="C7" s="3">
        <v>625.4</v>
      </c>
      <c r="D7" s="3">
        <v>646.29999999999995</v>
      </c>
      <c r="E7" s="3">
        <v>678.8</v>
      </c>
      <c r="F7" s="3">
        <v>721.5</v>
      </c>
      <c r="G7" s="3">
        <v>757.2</v>
      </c>
      <c r="H7" s="3">
        <v>774.2</v>
      </c>
      <c r="I7" s="3">
        <v>814.3</v>
      </c>
      <c r="J7" s="3">
        <v>862.3</v>
      </c>
      <c r="K7" s="3">
        <v>929.5</v>
      </c>
      <c r="L7" s="3">
        <v>994.2</v>
      </c>
      <c r="M7" s="3">
        <v>1020.3</v>
      </c>
      <c r="N7" s="3">
        <v>1055.2</v>
      </c>
      <c r="O7" s="3">
        <v>1090.8</v>
      </c>
      <c r="P7" s="3">
        <v>1139.4000000000001</v>
      </c>
      <c r="Q7" s="3">
        <v>1179.8</v>
      </c>
      <c r="R7" s="3">
        <v>1241.4000000000001</v>
      </c>
      <c r="S7" s="3">
        <v>1291</v>
      </c>
      <c r="T7" s="3">
        <v>1329.1</v>
      </c>
      <c r="U7" s="3">
        <v>1431.5</v>
      </c>
      <c r="V7" s="3">
        <v>1540.6</v>
      </c>
      <c r="W7" s="3">
        <v>1584.1</v>
      </c>
      <c r="X7" s="3">
        <v>1613.4</v>
      </c>
      <c r="Y7" s="3">
        <v>1704.8</v>
      </c>
      <c r="Z7" s="3">
        <v>1821.4</v>
      </c>
      <c r="AA7" s="3">
        <v>1954.3</v>
      </c>
      <c r="AB7" s="3">
        <v>2081.3000000000002</v>
      </c>
      <c r="AC7" s="3">
        <v>2179</v>
      </c>
      <c r="AD7" s="3">
        <v>2264.5</v>
      </c>
      <c r="AE7" s="3">
        <v>2167.9</v>
      </c>
      <c r="AF7" s="3">
        <v>2268.9</v>
      </c>
      <c r="AG7" s="3">
        <v>2424.6</v>
      </c>
      <c r="AH7" s="3">
        <v>2493.5</v>
      </c>
      <c r="AI7" s="3">
        <v>2550.4</v>
      </c>
      <c r="AJ7" s="3">
        <v>2639.3</v>
      </c>
      <c r="AK7" s="3">
        <v>2639.3</v>
      </c>
      <c r="AL7" s="3">
        <v>2676.5</v>
      </c>
      <c r="AM7" s="3">
        <v>2796.3</v>
      </c>
      <c r="AN7" s="3">
        <v>2925.4</v>
      </c>
      <c r="AO7" s="3">
        <v>3009.2</v>
      </c>
      <c r="AP7" s="3">
        <v>3086.9</v>
      </c>
      <c r="AQ7" s="3">
        <v>3507.6</v>
      </c>
    </row>
    <row r="8" spans="1:43" x14ac:dyDescent="0.3">
      <c r="A8" s="3" t="s">
        <v>61</v>
      </c>
      <c r="B8" s="3">
        <v>950.9</v>
      </c>
      <c r="C8" s="3">
        <v>1064.5999999999999</v>
      </c>
      <c r="D8" s="3">
        <v>1172</v>
      </c>
      <c r="E8" s="3">
        <v>1307.8</v>
      </c>
      <c r="F8" s="3">
        <v>1428.6</v>
      </c>
      <c r="G8" s="3">
        <v>1575.2</v>
      </c>
      <c r="H8" s="3">
        <v>1690.7</v>
      </c>
      <c r="I8" s="3">
        <v>1820</v>
      </c>
      <c r="J8" s="3">
        <v>1992.7</v>
      </c>
      <c r="K8" s="3">
        <v>2153</v>
      </c>
      <c r="L8" s="3">
        <v>2317.6999999999998</v>
      </c>
      <c r="M8" s="3">
        <v>2446</v>
      </c>
      <c r="N8" s="3">
        <v>2634.3</v>
      </c>
      <c r="O8" s="3">
        <v>2809.6</v>
      </c>
      <c r="P8" s="3">
        <v>2974.4</v>
      </c>
      <c r="Q8" s="3">
        <v>3147.1</v>
      </c>
      <c r="R8" s="3">
        <v>3326.9</v>
      </c>
      <c r="S8" s="3">
        <v>3530.3</v>
      </c>
      <c r="T8" s="3">
        <v>3768.8</v>
      </c>
      <c r="U8" s="3">
        <v>3996.7</v>
      </c>
      <c r="V8" s="3">
        <v>4314</v>
      </c>
      <c r="W8" s="3">
        <v>4548.2</v>
      </c>
      <c r="X8" s="3">
        <v>4750.1000000000004</v>
      </c>
      <c r="Y8" s="3">
        <v>5018.2</v>
      </c>
      <c r="Z8" s="3">
        <v>5329.9</v>
      </c>
      <c r="AA8" s="3">
        <v>5686.1</v>
      </c>
      <c r="AB8" s="3">
        <v>6037.6</v>
      </c>
      <c r="AC8" s="3">
        <v>6379.6</v>
      </c>
      <c r="AD8" s="3">
        <v>6686.9</v>
      </c>
      <c r="AE8" s="3">
        <v>6711.2</v>
      </c>
      <c r="AF8" s="3">
        <v>6942.4</v>
      </c>
      <c r="AG8" s="3">
        <v>7180.7</v>
      </c>
      <c r="AH8" s="3">
        <v>7409.6</v>
      </c>
      <c r="AI8" s="3">
        <v>7646.1</v>
      </c>
      <c r="AJ8" s="3">
        <v>7987.9</v>
      </c>
      <c r="AK8" s="3">
        <v>8342.2999999999993</v>
      </c>
      <c r="AL8" s="3">
        <v>8693.7999999999993</v>
      </c>
      <c r="AM8" s="3">
        <v>9078.4</v>
      </c>
      <c r="AN8" s="3">
        <v>9520.2000000000007</v>
      </c>
      <c r="AO8" s="3">
        <v>9904.7000000000007</v>
      </c>
      <c r="AP8" s="3">
        <v>9522.7000000000007</v>
      </c>
      <c r="AQ8" s="3">
        <v>10620.2</v>
      </c>
    </row>
    <row r="9" spans="1:43" x14ac:dyDescent="0.3">
      <c r="A9" s="5" t="s">
        <v>63</v>
      </c>
      <c r="B9" s="5">
        <v>530.1</v>
      </c>
      <c r="C9" s="5">
        <v>631.20000000000005</v>
      </c>
      <c r="D9" s="5">
        <v>581</v>
      </c>
      <c r="E9" s="5">
        <v>637.5</v>
      </c>
      <c r="F9" s="5">
        <v>820.1</v>
      </c>
      <c r="G9" s="5">
        <v>829.7</v>
      </c>
      <c r="H9" s="5">
        <v>849.1</v>
      </c>
      <c r="I9" s="5">
        <v>892.2</v>
      </c>
      <c r="J9" s="5">
        <v>937</v>
      </c>
      <c r="K9" s="5">
        <v>999.7</v>
      </c>
      <c r="L9" s="5">
        <v>993.4</v>
      </c>
      <c r="M9" s="5">
        <v>944.3</v>
      </c>
      <c r="N9" s="5">
        <v>1013</v>
      </c>
      <c r="O9" s="5">
        <v>1106.8</v>
      </c>
      <c r="P9" s="5">
        <v>1256.5</v>
      </c>
      <c r="Q9" s="5">
        <v>1317.5</v>
      </c>
      <c r="R9" s="5">
        <v>1432.1</v>
      </c>
      <c r="S9" s="5">
        <v>1595.6</v>
      </c>
      <c r="T9" s="5">
        <v>1736.7</v>
      </c>
      <c r="U9" s="5">
        <v>1887.1</v>
      </c>
      <c r="V9" s="5">
        <v>2038.4</v>
      </c>
      <c r="W9" s="5">
        <v>1934.8</v>
      </c>
      <c r="X9" s="5">
        <v>1930.4</v>
      </c>
      <c r="Y9" s="5">
        <v>2027.1</v>
      </c>
      <c r="Z9" s="5">
        <v>2281.3000000000002</v>
      </c>
      <c r="AA9" s="5">
        <v>2534.6999999999998</v>
      </c>
      <c r="AB9" s="5">
        <v>2701</v>
      </c>
      <c r="AC9" s="5">
        <v>2673</v>
      </c>
      <c r="AD9" s="5">
        <v>2477.6</v>
      </c>
      <c r="AE9" s="5">
        <v>1929.7</v>
      </c>
      <c r="AF9" s="5">
        <v>2165.5</v>
      </c>
      <c r="AG9" s="5">
        <v>2332.6</v>
      </c>
      <c r="AH9" s="5">
        <v>2621.8</v>
      </c>
      <c r="AI9" s="5">
        <v>2838.3</v>
      </c>
      <c r="AJ9" s="5">
        <v>3074</v>
      </c>
      <c r="AK9" s="5">
        <v>3288.5</v>
      </c>
      <c r="AL9" s="5">
        <v>3278.3</v>
      </c>
      <c r="AM9" s="5">
        <v>3467.7</v>
      </c>
      <c r="AN9" s="5">
        <v>3724.8</v>
      </c>
      <c r="AO9" s="5">
        <v>3893.7</v>
      </c>
      <c r="AP9" s="5">
        <v>3763.4</v>
      </c>
      <c r="AQ9" s="5">
        <v>4246.5</v>
      </c>
    </row>
    <row r="10" spans="1:43" x14ac:dyDescent="0.3">
      <c r="A10" s="3" t="s">
        <v>65</v>
      </c>
      <c r="B10" s="3">
        <v>536.4</v>
      </c>
      <c r="C10" s="3">
        <v>601.4</v>
      </c>
      <c r="D10" s="3">
        <v>595.9</v>
      </c>
      <c r="E10" s="3">
        <v>643.29999999999995</v>
      </c>
      <c r="F10" s="3">
        <v>754.7</v>
      </c>
      <c r="G10" s="3">
        <v>807.8</v>
      </c>
      <c r="H10" s="3">
        <v>842.6</v>
      </c>
      <c r="I10" s="3">
        <v>865</v>
      </c>
      <c r="J10" s="3">
        <v>918.5</v>
      </c>
      <c r="K10" s="3">
        <v>972</v>
      </c>
      <c r="L10" s="3">
        <v>978.9</v>
      </c>
      <c r="M10" s="3">
        <v>944.7</v>
      </c>
      <c r="N10" s="3">
        <v>996.7</v>
      </c>
      <c r="O10" s="3">
        <v>1086</v>
      </c>
      <c r="P10" s="3">
        <v>1192.7</v>
      </c>
      <c r="Q10" s="3">
        <v>1286.3</v>
      </c>
      <c r="R10" s="3">
        <v>1401.3</v>
      </c>
      <c r="S10" s="3">
        <v>1524.7</v>
      </c>
      <c r="T10" s="3">
        <v>1673</v>
      </c>
      <c r="U10" s="3">
        <v>1826.2</v>
      </c>
      <c r="V10" s="3">
        <v>1983.9</v>
      </c>
      <c r="W10" s="3">
        <v>1973.1</v>
      </c>
      <c r="X10" s="3">
        <v>1910.4</v>
      </c>
      <c r="Y10" s="3">
        <v>2013</v>
      </c>
      <c r="Z10" s="3">
        <v>2217.1999999999998</v>
      </c>
      <c r="AA10" s="3">
        <v>2477.1999999999998</v>
      </c>
      <c r="AB10" s="3">
        <v>2632</v>
      </c>
      <c r="AC10" s="3">
        <v>2639.1</v>
      </c>
      <c r="AD10" s="3">
        <v>2506.9</v>
      </c>
      <c r="AE10" s="3">
        <v>2080.4</v>
      </c>
      <c r="AF10" s="3">
        <v>2111.6</v>
      </c>
      <c r="AG10" s="3">
        <v>2286.3000000000002</v>
      </c>
      <c r="AH10" s="3">
        <v>2550.5</v>
      </c>
      <c r="AI10" s="3">
        <v>2732.9</v>
      </c>
      <c r="AJ10" s="3">
        <v>2989.2</v>
      </c>
      <c r="AK10" s="3">
        <v>3148.4</v>
      </c>
      <c r="AL10" s="3">
        <v>3239.2</v>
      </c>
      <c r="AM10" s="3">
        <v>3435</v>
      </c>
      <c r="AN10" s="3">
        <v>3668.4</v>
      </c>
      <c r="AO10" s="3">
        <v>3820.8</v>
      </c>
      <c r="AP10" s="3">
        <v>3793.9</v>
      </c>
      <c r="AQ10" s="3">
        <v>4219.7</v>
      </c>
    </row>
    <row r="11" spans="1:43" x14ac:dyDescent="0.3">
      <c r="A11" s="3" t="s">
        <v>67</v>
      </c>
      <c r="B11" s="3">
        <v>406.9</v>
      </c>
      <c r="C11" s="3">
        <v>472.9</v>
      </c>
      <c r="D11" s="3">
        <v>485.1</v>
      </c>
      <c r="E11" s="3">
        <v>482.2</v>
      </c>
      <c r="F11" s="3">
        <v>564.29999999999995</v>
      </c>
      <c r="G11" s="3">
        <v>607.79999999999995</v>
      </c>
      <c r="H11" s="3">
        <v>607.79999999999995</v>
      </c>
      <c r="I11" s="3">
        <v>615.20000000000005</v>
      </c>
      <c r="J11" s="3">
        <v>662.3</v>
      </c>
      <c r="K11" s="3">
        <v>716</v>
      </c>
      <c r="L11" s="3">
        <v>739.2</v>
      </c>
      <c r="M11" s="3">
        <v>723.6</v>
      </c>
      <c r="N11" s="3">
        <v>741.9</v>
      </c>
      <c r="O11" s="3">
        <v>799.2</v>
      </c>
      <c r="P11" s="3">
        <v>868.9</v>
      </c>
      <c r="Q11" s="3">
        <v>962.2</v>
      </c>
      <c r="R11" s="3">
        <v>1043.2</v>
      </c>
      <c r="S11" s="3">
        <v>1149.0999999999999</v>
      </c>
      <c r="T11" s="3">
        <v>1254.0999999999999</v>
      </c>
      <c r="U11" s="3">
        <v>1364.5</v>
      </c>
      <c r="V11" s="3">
        <v>1498.4</v>
      </c>
      <c r="W11" s="3">
        <v>1460.1</v>
      </c>
      <c r="X11" s="3">
        <v>1352.8</v>
      </c>
      <c r="Y11" s="3">
        <v>1375.9</v>
      </c>
      <c r="Z11" s="3">
        <v>1467.4</v>
      </c>
      <c r="AA11" s="3">
        <v>1621</v>
      </c>
      <c r="AB11" s="3">
        <v>1793.8</v>
      </c>
      <c r="AC11" s="3">
        <v>1948.6</v>
      </c>
      <c r="AD11" s="3">
        <v>1990.9</v>
      </c>
      <c r="AE11" s="3">
        <v>1690.4</v>
      </c>
      <c r="AF11" s="3">
        <v>1735</v>
      </c>
      <c r="AG11" s="3">
        <v>1907.5</v>
      </c>
      <c r="AH11" s="3">
        <v>2118.5</v>
      </c>
      <c r="AI11" s="3">
        <v>2221.3000000000002</v>
      </c>
      <c r="AJ11" s="3">
        <v>2425.1999999999998</v>
      </c>
      <c r="AK11" s="3">
        <v>2507.5</v>
      </c>
      <c r="AL11" s="3">
        <v>2529</v>
      </c>
      <c r="AM11" s="3">
        <v>2661.1</v>
      </c>
      <c r="AN11" s="3">
        <v>2856.5</v>
      </c>
      <c r="AO11" s="3">
        <v>2993.7</v>
      </c>
      <c r="AP11" s="3">
        <v>2873.3</v>
      </c>
      <c r="AQ11" s="3">
        <v>3087.2</v>
      </c>
    </row>
    <row r="12" spans="1:43" x14ac:dyDescent="0.3">
      <c r="A12" s="3" t="s">
        <v>69</v>
      </c>
      <c r="B12" s="3">
        <v>136.19999999999999</v>
      </c>
      <c r="C12" s="3">
        <v>167.3</v>
      </c>
      <c r="D12" s="3">
        <v>177.6</v>
      </c>
      <c r="E12" s="3">
        <v>154.30000000000001</v>
      </c>
      <c r="F12" s="3">
        <v>177.4</v>
      </c>
      <c r="G12" s="3">
        <v>194.5</v>
      </c>
      <c r="H12" s="3">
        <v>176.5</v>
      </c>
      <c r="I12" s="3">
        <v>174.2</v>
      </c>
      <c r="J12" s="3">
        <v>182.8</v>
      </c>
      <c r="K12" s="3">
        <v>193.7</v>
      </c>
      <c r="L12" s="3">
        <v>202.9</v>
      </c>
      <c r="M12" s="3">
        <v>183.6</v>
      </c>
      <c r="N12" s="3">
        <v>172.6</v>
      </c>
      <c r="O12" s="3">
        <v>177.2</v>
      </c>
      <c r="P12" s="3">
        <v>186.8</v>
      </c>
      <c r="Q12" s="3">
        <v>207.3</v>
      </c>
      <c r="R12" s="3">
        <v>224.6</v>
      </c>
      <c r="S12" s="3">
        <v>250.3</v>
      </c>
      <c r="T12" s="3">
        <v>276</v>
      </c>
      <c r="U12" s="3">
        <v>285.7</v>
      </c>
      <c r="V12" s="3">
        <v>321</v>
      </c>
      <c r="W12" s="3">
        <v>333.5</v>
      </c>
      <c r="X12" s="3">
        <v>287</v>
      </c>
      <c r="Y12" s="3">
        <v>286.60000000000002</v>
      </c>
      <c r="Z12" s="3">
        <v>307.7</v>
      </c>
      <c r="AA12" s="3">
        <v>353</v>
      </c>
      <c r="AB12" s="3">
        <v>425.2</v>
      </c>
      <c r="AC12" s="3">
        <v>510.3</v>
      </c>
      <c r="AD12" s="3">
        <v>571.1</v>
      </c>
      <c r="AE12" s="3">
        <v>455.8</v>
      </c>
      <c r="AF12" s="3">
        <v>379.8</v>
      </c>
      <c r="AG12" s="3">
        <v>404.5</v>
      </c>
      <c r="AH12" s="3">
        <v>479.4</v>
      </c>
      <c r="AI12" s="3">
        <v>491.5</v>
      </c>
      <c r="AJ12" s="3">
        <v>574.6</v>
      </c>
      <c r="AK12" s="3">
        <v>584.5</v>
      </c>
      <c r="AL12" s="3">
        <v>566.20000000000005</v>
      </c>
      <c r="AM12" s="3">
        <v>594.9</v>
      </c>
      <c r="AN12" s="3">
        <v>636.6</v>
      </c>
      <c r="AO12" s="3">
        <v>677.9</v>
      </c>
      <c r="AP12" s="3">
        <v>624.6</v>
      </c>
      <c r="AQ12" s="3">
        <v>627.9</v>
      </c>
    </row>
    <row r="13" spans="1:43" x14ac:dyDescent="0.3">
      <c r="A13" s="3" t="s">
        <v>71</v>
      </c>
      <c r="B13" s="3">
        <v>216.4</v>
      </c>
      <c r="C13" s="3">
        <v>240.9</v>
      </c>
      <c r="D13" s="3">
        <v>234.9</v>
      </c>
      <c r="E13" s="3">
        <v>246.5</v>
      </c>
      <c r="F13" s="3">
        <v>291.89999999999998</v>
      </c>
      <c r="G13" s="3">
        <v>307.89999999999998</v>
      </c>
      <c r="H13" s="3">
        <v>317.7</v>
      </c>
      <c r="I13" s="3">
        <v>320.89999999999998</v>
      </c>
      <c r="J13" s="3">
        <v>346.8</v>
      </c>
      <c r="K13" s="3">
        <v>372.2</v>
      </c>
      <c r="L13" s="3">
        <v>371.9</v>
      </c>
      <c r="M13" s="3">
        <v>360.8</v>
      </c>
      <c r="N13" s="3">
        <v>381.7</v>
      </c>
      <c r="O13" s="3">
        <v>425.1</v>
      </c>
      <c r="P13" s="3">
        <v>476.4</v>
      </c>
      <c r="Q13" s="3">
        <v>528.1</v>
      </c>
      <c r="R13" s="3">
        <v>565.29999999999995</v>
      </c>
      <c r="S13" s="3">
        <v>610.9</v>
      </c>
      <c r="T13" s="3">
        <v>660</v>
      </c>
      <c r="U13" s="3">
        <v>713.6</v>
      </c>
      <c r="V13" s="3">
        <v>766.1</v>
      </c>
      <c r="W13" s="3">
        <v>711.5</v>
      </c>
      <c r="X13" s="3">
        <v>659.6</v>
      </c>
      <c r="Y13" s="3">
        <v>670.6</v>
      </c>
      <c r="Z13" s="3">
        <v>721.9</v>
      </c>
      <c r="AA13" s="3">
        <v>794.9</v>
      </c>
      <c r="AB13" s="3">
        <v>862.3</v>
      </c>
      <c r="AC13" s="3">
        <v>893.4</v>
      </c>
      <c r="AD13" s="3">
        <v>845.4</v>
      </c>
      <c r="AE13" s="3">
        <v>670.3</v>
      </c>
      <c r="AF13" s="3">
        <v>777</v>
      </c>
      <c r="AG13" s="3">
        <v>881.3</v>
      </c>
      <c r="AH13" s="3">
        <v>983.4</v>
      </c>
      <c r="AI13" s="3">
        <v>1035.3</v>
      </c>
      <c r="AJ13" s="3">
        <v>1109.0999999999999</v>
      </c>
      <c r="AK13" s="3">
        <v>1144.0999999999999</v>
      </c>
      <c r="AL13" s="3">
        <v>1119.8</v>
      </c>
      <c r="AM13" s="3">
        <v>1160</v>
      </c>
      <c r="AN13" s="3">
        <v>1227.5999999999999</v>
      </c>
      <c r="AO13" s="3">
        <v>1240.9000000000001</v>
      </c>
      <c r="AP13" s="3">
        <v>1112.5</v>
      </c>
      <c r="AQ13" s="3">
        <v>1196.3</v>
      </c>
    </row>
    <row r="14" spans="1:43" x14ac:dyDescent="0.3">
      <c r="A14" s="3" t="s">
        <v>73</v>
      </c>
      <c r="B14" s="3">
        <v>54.4</v>
      </c>
      <c r="C14" s="3">
        <v>64.8</v>
      </c>
      <c r="D14" s="3">
        <v>72.7</v>
      </c>
      <c r="E14" s="3">
        <v>81.3</v>
      </c>
      <c r="F14" s="3">
        <v>95</v>
      </c>
      <c r="G14" s="3">
        <v>105.3</v>
      </c>
      <c r="H14" s="3">
        <v>113.5</v>
      </c>
      <c r="I14" s="3">
        <v>120.1</v>
      </c>
      <c r="J14" s="3">
        <v>132.69999999999999</v>
      </c>
      <c r="K14" s="3">
        <v>150.1</v>
      </c>
      <c r="L14" s="3">
        <v>164.4</v>
      </c>
      <c r="M14" s="3">
        <v>179.1</v>
      </c>
      <c r="N14" s="3">
        <v>187.7</v>
      </c>
      <c r="O14" s="3">
        <v>196.9</v>
      </c>
      <c r="P14" s="3">
        <v>205.7</v>
      </c>
      <c r="Q14" s="3">
        <v>226.8</v>
      </c>
      <c r="R14" s="3">
        <v>253.3</v>
      </c>
      <c r="S14" s="3">
        <v>288</v>
      </c>
      <c r="T14" s="3">
        <v>318.10000000000002</v>
      </c>
      <c r="U14" s="3">
        <v>365.1</v>
      </c>
      <c r="V14" s="3">
        <v>411.3</v>
      </c>
      <c r="W14" s="3">
        <v>415</v>
      </c>
      <c r="X14" s="3">
        <v>406.2</v>
      </c>
      <c r="Y14" s="3">
        <v>418.7</v>
      </c>
      <c r="Z14" s="3">
        <v>437.8</v>
      </c>
      <c r="AA14" s="3">
        <v>473.1</v>
      </c>
      <c r="AB14" s="3">
        <v>506.3</v>
      </c>
      <c r="AC14" s="3">
        <v>544.79999999999995</v>
      </c>
      <c r="AD14" s="3">
        <v>574.4</v>
      </c>
      <c r="AE14" s="3">
        <v>564.4</v>
      </c>
      <c r="AF14" s="3">
        <v>578.20000000000005</v>
      </c>
      <c r="AG14" s="3">
        <v>621.70000000000005</v>
      </c>
      <c r="AH14" s="3">
        <v>655.7</v>
      </c>
      <c r="AI14" s="3">
        <v>694.6</v>
      </c>
      <c r="AJ14" s="3">
        <v>741.5</v>
      </c>
      <c r="AK14" s="3">
        <v>778.9</v>
      </c>
      <c r="AL14" s="3">
        <v>843</v>
      </c>
      <c r="AM14" s="3">
        <v>906.2</v>
      </c>
      <c r="AN14" s="3">
        <v>992.2</v>
      </c>
      <c r="AO14" s="3">
        <v>1074.9000000000001</v>
      </c>
      <c r="AP14" s="3">
        <v>1136.2</v>
      </c>
      <c r="AQ14" s="3">
        <v>1263.0999999999999</v>
      </c>
    </row>
    <row r="15" spans="1:43" x14ac:dyDescent="0.3">
      <c r="A15" s="3" t="s">
        <v>75</v>
      </c>
      <c r="B15" s="3">
        <v>129.5</v>
      </c>
      <c r="C15" s="3">
        <v>128.5</v>
      </c>
      <c r="D15" s="3">
        <v>110.8</v>
      </c>
      <c r="E15" s="3">
        <v>161.1</v>
      </c>
      <c r="F15" s="3">
        <v>190.4</v>
      </c>
      <c r="G15" s="3">
        <v>200.1</v>
      </c>
      <c r="H15" s="3">
        <v>234.8</v>
      </c>
      <c r="I15" s="3">
        <v>249.8</v>
      </c>
      <c r="J15" s="3">
        <v>256.2</v>
      </c>
      <c r="K15" s="3">
        <v>256</v>
      </c>
      <c r="L15" s="3">
        <v>239.7</v>
      </c>
      <c r="M15" s="3">
        <v>221.2</v>
      </c>
      <c r="N15" s="3">
        <v>254.7</v>
      </c>
      <c r="O15" s="3">
        <v>286.8</v>
      </c>
      <c r="P15" s="3">
        <v>323.8</v>
      </c>
      <c r="Q15" s="3">
        <v>324.10000000000002</v>
      </c>
      <c r="R15" s="3">
        <v>358.1</v>
      </c>
      <c r="S15" s="3">
        <v>375.6</v>
      </c>
      <c r="T15" s="3">
        <v>418.8</v>
      </c>
      <c r="U15" s="3">
        <v>461.8</v>
      </c>
      <c r="V15" s="3">
        <v>485.4</v>
      </c>
      <c r="W15" s="3">
        <v>513.1</v>
      </c>
      <c r="X15" s="3">
        <v>557.6</v>
      </c>
      <c r="Y15" s="3">
        <v>637.1</v>
      </c>
      <c r="Z15" s="3">
        <v>749.8</v>
      </c>
      <c r="AA15" s="3">
        <v>856.2</v>
      </c>
      <c r="AB15" s="3">
        <v>838.2</v>
      </c>
      <c r="AC15" s="3">
        <v>690.5</v>
      </c>
      <c r="AD15" s="3">
        <v>516</v>
      </c>
      <c r="AE15" s="3">
        <v>390</v>
      </c>
      <c r="AF15" s="3">
        <v>376.6</v>
      </c>
      <c r="AG15" s="3">
        <v>378.8</v>
      </c>
      <c r="AH15" s="3">
        <v>432</v>
      </c>
      <c r="AI15" s="3">
        <v>511.5</v>
      </c>
      <c r="AJ15" s="3">
        <v>564</v>
      </c>
      <c r="AK15" s="3">
        <v>640.9</v>
      </c>
      <c r="AL15" s="3">
        <v>710.2</v>
      </c>
      <c r="AM15" s="3">
        <v>773.9</v>
      </c>
      <c r="AN15" s="3">
        <v>811.9</v>
      </c>
      <c r="AO15" s="3">
        <v>827.1</v>
      </c>
      <c r="AP15" s="3">
        <v>920.5</v>
      </c>
      <c r="AQ15" s="3">
        <v>1132.4000000000001</v>
      </c>
    </row>
    <row r="16" spans="1:43" x14ac:dyDescent="0.3">
      <c r="A16" s="3" t="s">
        <v>77</v>
      </c>
      <c r="B16" s="3">
        <v>-6.3</v>
      </c>
      <c r="C16" s="3">
        <v>29.8</v>
      </c>
      <c r="D16" s="3">
        <v>-14.9</v>
      </c>
      <c r="E16" s="3">
        <v>-5.8</v>
      </c>
      <c r="F16" s="3">
        <v>65.400000000000006</v>
      </c>
      <c r="G16" s="3">
        <v>21.8</v>
      </c>
      <c r="H16" s="3">
        <v>6.6</v>
      </c>
      <c r="I16" s="3">
        <v>27.1</v>
      </c>
      <c r="J16" s="3">
        <v>18.5</v>
      </c>
      <c r="K16" s="3">
        <v>27.7</v>
      </c>
      <c r="L16" s="3">
        <v>14.5</v>
      </c>
      <c r="M16" s="3">
        <v>-0.4</v>
      </c>
      <c r="N16" s="3">
        <v>16.3</v>
      </c>
      <c r="O16" s="3">
        <v>20.8</v>
      </c>
      <c r="P16" s="3">
        <v>63.8</v>
      </c>
      <c r="Q16" s="3">
        <v>31.2</v>
      </c>
      <c r="R16" s="3">
        <v>30.8</v>
      </c>
      <c r="S16" s="3">
        <v>70.900000000000006</v>
      </c>
      <c r="T16" s="3">
        <v>63.7</v>
      </c>
      <c r="U16" s="3">
        <v>60.8</v>
      </c>
      <c r="V16" s="3">
        <v>54.5</v>
      </c>
      <c r="W16" s="3">
        <v>-38.299999999999997</v>
      </c>
      <c r="X16" s="3">
        <v>20</v>
      </c>
      <c r="Y16" s="3">
        <v>14.1</v>
      </c>
      <c r="Z16" s="3">
        <v>64.099999999999994</v>
      </c>
      <c r="AA16" s="3">
        <v>57.5</v>
      </c>
      <c r="AB16" s="3">
        <v>69</v>
      </c>
      <c r="AC16" s="3">
        <v>34</v>
      </c>
      <c r="AD16" s="3">
        <v>-29.2</v>
      </c>
      <c r="AE16" s="3">
        <v>-150.80000000000001</v>
      </c>
      <c r="AF16" s="3">
        <v>53.9</v>
      </c>
      <c r="AG16" s="3">
        <v>46.3</v>
      </c>
      <c r="AH16" s="3">
        <v>71.2</v>
      </c>
      <c r="AI16" s="3">
        <v>105.5</v>
      </c>
      <c r="AJ16" s="3">
        <v>84.8</v>
      </c>
      <c r="AK16" s="3">
        <v>140.1</v>
      </c>
      <c r="AL16" s="3">
        <v>39.1</v>
      </c>
      <c r="AM16" s="3">
        <v>32.700000000000003</v>
      </c>
      <c r="AN16" s="3">
        <v>56.4</v>
      </c>
      <c r="AO16" s="3">
        <v>73</v>
      </c>
      <c r="AP16" s="3">
        <v>-30.5</v>
      </c>
      <c r="AQ16" s="3">
        <v>26.9</v>
      </c>
    </row>
    <row r="17" spans="1:43" x14ac:dyDescent="0.3">
      <c r="A17" s="5" t="s">
        <v>79</v>
      </c>
      <c r="B17" s="5">
        <v>-13.1</v>
      </c>
      <c r="C17" s="5">
        <v>-12.5</v>
      </c>
      <c r="D17" s="5">
        <v>-20</v>
      </c>
      <c r="E17" s="5">
        <v>-51.6</v>
      </c>
      <c r="F17" s="5">
        <v>-102.7</v>
      </c>
      <c r="G17" s="5">
        <v>-114</v>
      </c>
      <c r="H17" s="5">
        <v>-131.9</v>
      </c>
      <c r="I17" s="5">
        <v>-144.80000000000001</v>
      </c>
      <c r="J17" s="5">
        <v>-109.4</v>
      </c>
      <c r="K17" s="5">
        <v>-86.7</v>
      </c>
      <c r="L17" s="5">
        <v>-77.900000000000006</v>
      </c>
      <c r="M17" s="5">
        <v>-28.6</v>
      </c>
      <c r="N17" s="5">
        <v>-34.700000000000003</v>
      </c>
      <c r="O17" s="5">
        <v>-65.2</v>
      </c>
      <c r="P17" s="5">
        <v>-92.5</v>
      </c>
      <c r="Q17" s="5">
        <v>-89.8</v>
      </c>
      <c r="R17" s="5">
        <v>-96.4</v>
      </c>
      <c r="S17" s="5">
        <v>-102</v>
      </c>
      <c r="T17" s="5">
        <v>-162.69999999999999</v>
      </c>
      <c r="U17" s="5">
        <v>-259.60000000000002</v>
      </c>
      <c r="V17" s="5">
        <v>-381.1</v>
      </c>
      <c r="W17" s="5">
        <v>-376.7</v>
      </c>
      <c r="X17" s="5">
        <v>-439.7</v>
      </c>
      <c r="Y17" s="5">
        <v>-522</v>
      </c>
      <c r="Z17" s="5">
        <v>-634.1</v>
      </c>
      <c r="AA17" s="5">
        <v>-739.9</v>
      </c>
      <c r="AB17" s="5">
        <v>-786.5</v>
      </c>
      <c r="AC17" s="5">
        <v>-735.9</v>
      </c>
      <c r="AD17" s="5">
        <v>-740.9</v>
      </c>
      <c r="AE17" s="5">
        <v>-419.2</v>
      </c>
      <c r="AF17" s="5">
        <v>-532.29999999999995</v>
      </c>
      <c r="AG17" s="5">
        <v>-579.6</v>
      </c>
      <c r="AH17" s="5">
        <v>-551.6</v>
      </c>
      <c r="AI17" s="5">
        <v>-478.5</v>
      </c>
      <c r="AJ17" s="5">
        <v>-508.9</v>
      </c>
      <c r="AK17" s="5">
        <v>-524.29999999999995</v>
      </c>
      <c r="AL17" s="5">
        <v>-503.3</v>
      </c>
      <c r="AM17" s="5">
        <v>-543.29999999999995</v>
      </c>
      <c r="AN17" s="5">
        <v>-593.1</v>
      </c>
      <c r="AO17" s="5">
        <v>-577.29999999999995</v>
      </c>
      <c r="AP17" s="5">
        <v>-618.6</v>
      </c>
      <c r="AQ17" s="5">
        <v>-849.2</v>
      </c>
    </row>
    <row r="18" spans="1:43" x14ac:dyDescent="0.3">
      <c r="A18" s="3" t="s">
        <v>81</v>
      </c>
      <c r="B18" s="3">
        <v>280.8</v>
      </c>
      <c r="C18" s="3">
        <v>305.2</v>
      </c>
      <c r="D18" s="3">
        <v>283.2</v>
      </c>
      <c r="E18" s="3">
        <v>277</v>
      </c>
      <c r="F18" s="3">
        <v>302.39999999999998</v>
      </c>
      <c r="G18" s="3">
        <v>303.2</v>
      </c>
      <c r="H18" s="3">
        <v>321</v>
      </c>
      <c r="I18" s="3">
        <v>363.9</v>
      </c>
      <c r="J18" s="3">
        <v>444.6</v>
      </c>
      <c r="K18" s="3">
        <v>504.3</v>
      </c>
      <c r="L18" s="3">
        <v>551.9</v>
      </c>
      <c r="M18" s="3">
        <v>594.9</v>
      </c>
      <c r="N18" s="3">
        <v>633.1</v>
      </c>
      <c r="O18" s="3">
        <v>654.79999999999995</v>
      </c>
      <c r="P18" s="3">
        <v>720.9</v>
      </c>
      <c r="Q18" s="3">
        <v>812.8</v>
      </c>
      <c r="R18" s="3">
        <v>867.6</v>
      </c>
      <c r="S18" s="3">
        <v>953.8</v>
      </c>
      <c r="T18" s="3">
        <v>953</v>
      </c>
      <c r="U18" s="3">
        <v>992.9</v>
      </c>
      <c r="V18" s="3">
        <v>1096.0999999999999</v>
      </c>
      <c r="W18" s="3">
        <v>1026.8</v>
      </c>
      <c r="X18" s="3">
        <v>998</v>
      </c>
      <c r="Y18" s="3">
        <v>1035.2</v>
      </c>
      <c r="Z18" s="3">
        <v>1176.4000000000001</v>
      </c>
      <c r="AA18" s="3">
        <v>1301.5999999999999</v>
      </c>
      <c r="AB18" s="3">
        <v>1470.2</v>
      </c>
      <c r="AC18" s="3">
        <v>1659.3</v>
      </c>
      <c r="AD18" s="3">
        <v>1835.3</v>
      </c>
      <c r="AE18" s="3">
        <v>1582.8</v>
      </c>
      <c r="AF18" s="3">
        <v>1857.2</v>
      </c>
      <c r="AG18" s="3">
        <v>2115.9</v>
      </c>
      <c r="AH18" s="3">
        <v>2217.6999999999998</v>
      </c>
      <c r="AI18" s="3">
        <v>2287.9</v>
      </c>
      <c r="AJ18" s="3">
        <v>2378.5</v>
      </c>
      <c r="AK18" s="3">
        <v>2270.6</v>
      </c>
      <c r="AL18" s="3">
        <v>2235.6</v>
      </c>
      <c r="AM18" s="3">
        <v>2388.3000000000002</v>
      </c>
      <c r="AN18" s="3">
        <v>2538.1</v>
      </c>
      <c r="AO18" s="3">
        <v>2539.4</v>
      </c>
      <c r="AP18" s="3">
        <v>2163.8000000000002</v>
      </c>
      <c r="AQ18" s="3">
        <v>2568.6999999999998</v>
      </c>
    </row>
    <row r="19" spans="1:43" x14ac:dyDescent="0.3">
      <c r="A19" s="3" t="s">
        <v>83</v>
      </c>
      <c r="B19" s="3">
        <v>230.4</v>
      </c>
      <c r="C19" s="3">
        <v>245.2</v>
      </c>
      <c r="D19" s="3">
        <v>222.6</v>
      </c>
      <c r="E19" s="3">
        <v>214</v>
      </c>
      <c r="F19" s="3">
        <v>231.3</v>
      </c>
      <c r="G19" s="3">
        <v>227.5</v>
      </c>
      <c r="H19" s="3">
        <v>231.4</v>
      </c>
      <c r="I19" s="3">
        <v>265.60000000000002</v>
      </c>
      <c r="J19" s="3">
        <v>332.1</v>
      </c>
      <c r="K19" s="3">
        <v>374.8</v>
      </c>
      <c r="L19" s="3">
        <v>403.3</v>
      </c>
      <c r="M19" s="3">
        <v>430.1</v>
      </c>
      <c r="N19" s="3">
        <v>455.3</v>
      </c>
      <c r="O19" s="3">
        <v>467.7</v>
      </c>
      <c r="P19" s="3">
        <v>518.4</v>
      </c>
      <c r="Q19" s="3">
        <v>592.4</v>
      </c>
      <c r="R19" s="3">
        <v>628.79999999999995</v>
      </c>
      <c r="S19" s="3">
        <v>699.9</v>
      </c>
      <c r="T19" s="3">
        <v>692.6</v>
      </c>
      <c r="U19" s="3">
        <v>711.7</v>
      </c>
      <c r="V19" s="3">
        <v>795.1</v>
      </c>
      <c r="W19" s="3">
        <v>739.6</v>
      </c>
      <c r="X19" s="3">
        <v>706.6</v>
      </c>
      <c r="Y19" s="3">
        <v>733.9</v>
      </c>
      <c r="Z19" s="3">
        <v>828</v>
      </c>
      <c r="AA19" s="3">
        <v>919.3</v>
      </c>
      <c r="AB19" s="3">
        <v>1043.0999999999999</v>
      </c>
      <c r="AC19" s="3">
        <v>1159.7</v>
      </c>
      <c r="AD19" s="3">
        <v>1291</v>
      </c>
      <c r="AE19" s="3">
        <v>1057.4000000000001</v>
      </c>
      <c r="AF19" s="3">
        <v>1272.9000000000001</v>
      </c>
      <c r="AG19" s="3">
        <v>1468.5</v>
      </c>
      <c r="AH19" s="3">
        <v>1529.6</v>
      </c>
      <c r="AI19" s="3">
        <v>1563.9</v>
      </c>
      <c r="AJ19" s="3">
        <v>1617</v>
      </c>
      <c r="AK19" s="3">
        <v>1496.7</v>
      </c>
      <c r="AL19" s="3">
        <v>1447.6</v>
      </c>
      <c r="AM19" s="3">
        <v>1546.7</v>
      </c>
      <c r="AN19" s="3">
        <v>1669.3</v>
      </c>
      <c r="AO19" s="3">
        <v>1644.8</v>
      </c>
      <c r="AP19" s="3">
        <v>1421.6</v>
      </c>
      <c r="AQ19" s="3">
        <v>1747.2</v>
      </c>
    </row>
    <row r="20" spans="1:43" x14ac:dyDescent="0.3">
      <c r="A20" s="3" t="s">
        <v>85</v>
      </c>
      <c r="B20" s="3">
        <v>50.3</v>
      </c>
      <c r="C20" s="3">
        <v>60</v>
      </c>
      <c r="D20" s="3">
        <v>60.7</v>
      </c>
      <c r="E20" s="3">
        <v>62.9</v>
      </c>
      <c r="F20" s="3">
        <v>71.099999999999994</v>
      </c>
      <c r="G20" s="3">
        <v>75.7</v>
      </c>
      <c r="H20" s="3">
        <v>89.6</v>
      </c>
      <c r="I20" s="3">
        <v>98.4</v>
      </c>
      <c r="J20" s="3">
        <v>112.5</v>
      </c>
      <c r="K20" s="3">
        <v>129.5</v>
      </c>
      <c r="L20" s="3">
        <v>148.6</v>
      </c>
      <c r="M20" s="3">
        <v>164.8</v>
      </c>
      <c r="N20" s="3">
        <v>177.7</v>
      </c>
      <c r="O20" s="3">
        <v>187.1</v>
      </c>
      <c r="P20" s="3">
        <v>202.6</v>
      </c>
      <c r="Q20" s="3">
        <v>220.4</v>
      </c>
      <c r="R20" s="3">
        <v>238.8</v>
      </c>
      <c r="S20" s="3">
        <v>253.9</v>
      </c>
      <c r="T20" s="3">
        <v>260.39999999999998</v>
      </c>
      <c r="U20" s="3">
        <v>281.2</v>
      </c>
      <c r="V20" s="3">
        <v>301.10000000000002</v>
      </c>
      <c r="W20" s="3">
        <v>287.2</v>
      </c>
      <c r="X20" s="3">
        <v>291.39999999999998</v>
      </c>
      <c r="Y20" s="3">
        <v>301.3</v>
      </c>
      <c r="Z20" s="3">
        <v>348.4</v>
      </c>
      <c r="AA20" s="3">
        <v>382.2</v>
      </c>
      <c r="AB20" s="3">
        <v>427.1</v>
      </c>
      <c r="AC20" s="3">
        <v>499.6</v>
      </c>
      <c r="AD20" s="3">
        <v>544.29999999999995</v>
      </c>
      <c r="AE20" s="3">
        <v>525.4</v>
      </c>
      <c r="AF20" s="3">
        <v>584.29999999999995</v>
      </c>
      <c r="AG20" s="3">
        <v>647.4</v>
      </c>
      <c r="AH20" s="3">
        <v>688.1</v>
      </c>
      <c r="AI20" s="3">
        <v>724.1</v>
      </c>
      <c r="AJ20" s="3">
        <v>761.6</v>
      </c>
      <c r="AK20" s="3">
        <v>773.9</v>
      </c>
      <c r="AL20" s="3">
        <v>788</v>
      </c>
      <c r="AM20" s="3">
        <v>841.6</v>
      </c>
      <c r="AN20" s="3">
        <v>868.8</v>
      </c>
      <c r="AO20" s="3">
        <v>894.6</v>
      </c>
      <c r="AP20" s="3">
        <v>742.2</v>
      </c>
      <c r="AQ20" s="3">
        <v>821.5</v>
      </c>
    </row>
    <row r="21" spans="1:43" x14ac:dyDescent="0.3">
      <c r="A21" s="3" t="s">
        <v>87</v>
      </c>
      <c r="B21" s="3">
        <v>293.8</v>
      </c>
      <c r="C21" s="3">
        <v>317.8</v>
      </c>
      <c r="D21" s="3">
        <v>303.2</v>
      </c>
      <c r="E21" s="3">
        <v>328.6</v>
      </c>
      <c r="F21" s="3">
        <v>405.1</v>
      </c>
      <c r="G21" s="3">
        <v>417.2</v>
      </c>
      <c r="H21" s="3">
        <v>452.9</v>
      </c>
      <c r="I21" s="3">
        <v>508.7</v>
      </c>
      <c r="J21" s="3">
        <v>554</v>
      </c>
      <c r="K21" s="3">
        <v>591</v>
      </c>
      <c r="L21" s="3">
        <v>629.70000000000005</v>
      </c>
      <c r="M21" s="3">
        <v>623.5</v>
      </c>
      <c r="N21" s="3">
        <v>667.8</v>
      </c>
      <c r="O21" s="3">
        <v>720</v>
      </c>
      <c r="P21" s="3">
        <v>813.4</v>
      </c>
      <c r="Q21" s="3">
        <v>902.6</v>
      </c>
      <c r="R21" s="3">
        <v>964</v>
      </c>
      <c r="S21" s="3">
        <v>1055.8</v>
      </c>
      <c r="T21" s="3">
        <v>1115.7</v>
      </c>
      <c r="U21" s="3">
        <v>1252.5</v>
      </c>
      <c r="V21" s="3">
        <v>1477.2</v>
      </c>
      <c r="W21" s="3">
        <v>1403.6</v>
      </c>
      <c r="X21" s="3">
        <v>1437.7</v>
      </c>
      <c r="Y21" s="3">
        <v>1557.1</v>
      </c>
      <c r="Z21" s="3">
        <v>1810.5</v>
      </c>
      <c r="AA21" s="3">
        <v>2041.5</v>
      </c>
      <c r="AB21" s="3">
        <v>2256.6</v>
      </c>
      <c r="AC21" s="3">
        <v>2395.1999999999998</v>
      </c>
      <c r="AD21" s="3">
        <v>2576.1999999999998</v>
      </c>
      <c r="AE21" s="3">
        <v>2001.9</v>
      </c>
      <c r="AF21" s="3">
        <v>2389.6</v>
      </c>
      <c r="AG21" s="3">
        <v>2695.5</v>
      </c>
      <c r="AH21" s="3">
        <v>2769.3</v>
      </c>
      <c r="AI21" s="3">
        <v>2766.4</v>
      </c>
      <c r="AJ21" s="3">
        <v>2887.4</v>
      </c>
      <c r="AK21" s="3">
        <v>2794.9</v>
      </c>
      <c r="AL21" s="3">
        <v>2738.8</v>
      </c>
      <c r="AM21" s="3">
        <v>2931.6</v>
      </c>
      <c r="AN21" s="3">
        <v>3131.2</v>
      </c>
      <c r="AO21" s="3">
        <v>3116.7</v>
      </c>
      <c r="AP21" s="3">
        <v>2782.4</v>
      </c>
      <c r="AQ21" s="3">
        <v>3417.9</v>
      </c>
    </row>
    <row r="22" spans="1:43" x14ac:dyDescent="0.3">
      <c r="A22" s="3" t="s">
        <v>83</v>
      </c>
      <c r="B22" s="3">
        <v>248.6</v>
      </c>
      <c r="C22" s="3">
        <v>267.8</v>
      </c>
      <c r="D22" s="3">
        <v>250.5</v>
      </c>
      <c r="E22" s="3">
        <v>272.7</v>
      </c>
      <c r="F22" s="3">
        <v>336.3</v>
      </c>
      <c r="G22" s="3">
        <v>343.3</v>
      </c>
      <c r="H22" s="3">
        <v>370</v>
      </c>
      <c r="I22" s="3">
        <v>414.8</v>
      </c>
      <c r="J22" s="3">
        <v>452.1</v>
      </c>
      <c r="K22" s="3">
        <v>484.8</v>
      </c>
      <c r="L22" s="3">
        <v>508.1</v>
      </c>
      <c r="M22" s="3">
        <v>500.7</v>
      </c>
      <c r="N22" s="3">
        <v>544.9</v>
      </c>
      <c r="O22" s="3">
        <v>592.79999999999995</v>
      </c>
      <c r="P22" s="3">
        <v>676.8</v>
      </c>
      <c r="Q22" s="3">
        <v>757.4</v>
      </c>
      <c r="R22" s="3">
        <v>807.4</v>
      </c>
      <c r="S22" s="3">
        <v>885.7</v>
      </c>
      <c r="T22" s="3">
        <v>930.8</v>
      </c>
      <c r="U22" s="3">
        <v>1051.2</v>
      </c>
      <c r="V22" s="3">
        <v>1251.2</v>
      </c>
      <c r="W22" s="3">
        <v>1176.2</v>
      </c>
      <c r="X22" s="3">
        <v>1198.9000000000001</v>
      </c>
      <c r="Y22" s="3">
        <v>1299</v>
      </c>
      <c r="Z22" s="3">
        <v>1513.6</v>
      </c>
      <c r="AA22" s="3">
        <v>1722.8</v>
      </c>
      <c r="AB22" s="3">
        <v>1900.6</v>
      </c>
      <c r="AC22" s="3">
        <v>2002.7</v>
      </c>
      <c r="AD22" s="3">
        <v>2148.6999999999998</v>
      </c>
      <c r="AE22" s="3">
        <v>1588.1</v>
      </c>
      <c r="AF22" s="3">
        <v>1947</v>
      </c>
      <c r="AG22" s="3">
        <v>2231.1</v>
      </c>
      <c r="AH22" s="3">
        <v>2293.3000000000002</v>
      </c>
      <c r="AI22" s="3">
        <v>2293.9</v>
      </c>
      <c r="AJ22" s="3">
        <v>2389.3000000000002</v>
      </c>
      <c r="AK22" s="3">
        <v>2289.6</v>
      </c>
      <c r="AL22" s="3">
        <v>2218.6999999999998</v>
      </c>
      <c r="AM22" s="3">
        <v>2369.9</v>
      </c>
      <c r="AN22" s="3">
        <v>2559.1</v>
      </c>
      <c r="AO22" s="3">
        <v>2516.6999999999998</v>
      </c>
      <c r="AP22" s="3">
        <v>2305.1</v>
      </c>
      <c r="AQ22" s="3">
        <v>2839.6</v>
      </c>
    </row>
    <row r="23" spans="1:43" x14ac:dyDescent="0.3">
      <c r="A23" s="3" t="s">
        <v>85</v>
      </c>
      <c r="B23" s="3">
        <v>45.3</v>
      </c>
      <c r="C23" s="3">
        <v>49.9</v>
      </c>
      <c r="D23" s="3">
        <v>52.6</v>
      </c>
      <c r="E23" s="3">
        <v>56</v>
      </c>
      <c r="F23" s="3">
        <v>68.8</v>
      </c>
      <c r="G23" s="3">
        <v>73.900000000000006</v>
      </c>
      <c r="H23" s="3">
        <v>82.9</v>
      </c>
      <c r="I23" s="3">
        <v>93.9</v>
      </c>
      <c r="J23" s="3">
        <v>101.9</v>
      </c>
      <c r="K23" s="3">
        <v>106.2</v>
      </c>
      <c r="L23" s="3">
        <v>121.7</v>
      </c>
      <c r="M23" s="3">
        <v>122.8</v>
      </c>
      <c r="N23" s="3">
        <v>122.9</v>
      </c>
      <c r="O23" s="3">
        <v>127.2</v>
      </c>
      <c r="P23" s="3">
        <v>136.6</v>
      </c>
      <c r="Q23" s="3">
        <v>145.1</v>
      </c>
      <c r="R23" s="3">
        <v>156.5</v>
      </c>
      <c r="S23" s="3">
        <v>170.1</v>
      </c>
      <c r="T23" s="3">
        <v>184.9</v>
      </c>
      <c r="U23" s="3">
        <v>201.3</v>
      </c>
      <c r="V23" s="3">
        <v>226</v>
      </c>
      <c r="W23" s="3">
        <v>227.4</v>
      </c>
      <c r="X23" s="3">
        <v>238.9</v>
      </c>
      <c r="Y23" s="3">
        <v>258.10000000000002</v>
      </c>
      <c r="Z23" s="3">
        <v>296.89999999999998</v>
      </c>
      <c r="AA23" s="3">
        <v>318.7</v>
      </c>
      <c r="AB23" s="3">
        <v>356</v>
      </c>
      <c r="AC23" s="3">
        <v>392.5</v>
      </c>
      <c r="AD23" s="3">
        <v>427.5</v>
      </c>
      <c r="AE23" s="3">
        <v>413.8</v>
      </c>
      <c r="AF23" s="3">
        <v>442.5</v>
      </c>
      <c r="AG23" s="3">
        <v>464.3</v>
      </c>
      <c r="AH23" s="3">
        <v>476.1</v>
      </c>
      <c r="AI23" s="3">
        <v>472.5</v>
      </c>
      <c r="AJ23" s="3">
        <v>498.1</v>
      </c>
      <c r="AK23" s="3">
        <v>505.4</v>
      </c>
      <c r="AL23" s="3">
        <v>520.1</v>
      </c>
      <c r="AM23" s="3">
        <v>561.70000000000005</v>
      </c>
      <c r="AN23" s="3">
        <v>572.1</v>
      </c>
      <c r="AO23" s="3">
        <v>600</v>
      </c>
      <c r="AP23" s="3">
        <v>477.3</v>
      </c>
      <c r="AQ23" s="3">
        <v>578.29999999999995</v>
      </c>
    </row>
    <row r="24" spans="1:43" x14ac:dyDescent="0.3">
      <c r="A24" s="5" t="s">
        <v>91</v>
      </c>
      <c r="B24" s="5">
        <v>589.6</v>
      </c>
      <c r="C24" s="5">
        <v>654.4</v>
      </c>
      <c r="D24" s="5">
        <v>711.5</v>
      </c>
      <c r="E24" s="5">
        <v>766.6</v>
      </c>
      <c r="F24" s="5">
        <v>827.9</v>
      </c>
      <c r="G24" s="5">
        <v>910.5</v>
      </c>
      <c r="H24" s="5">
        <v>976.1</v>
      </c>
      <c r="I24" s="5">
        <v>1031.5</v>
      </c>
      <c r="J24" s="5">
        <v>1078.9000000000001</v>
      </c>
      <c r="K24" s="5">
        <v>1151.9000000000001</v>
      </c>
      <c r="L24" s="5">
        <v>1238.5999999999999</v>
      </c>
      <c r="M24" s="5">
        <v>1299</v>
      </c>
      <c r="N24" s="5">
        <v>1344.5</v>
      </c>
      <c r="O24" s="5">
        <v>1364.9</v>
      </c>
      <c r="P24" s="5">
        <v>1402.3</v>
      </c>
      <c r="Q24" s="5">
        <v>1449.4</v>
      </c>
      <c r="R24" s="5">
        <v>1492.8</v>
      </c>
      <c r="S24" s="5">
        <v>1547.1</v>
      </c>
      <c r="T24" s="5">
        <v>1611.6</v>
      </c>
      <c r="U24" s="5">
        <v>1719.9</v>
      </c>
      <c r="V24" s="5">
        <v>1826.4</v>
      </c>
      <c r="W24" s="5">
        <v>1950</v>
      </c>
      <c r="X24" s="5">
        <v>2089.5</v>
      </c>
      <c r="Y24" s="5">
        <v>2210.6</v>
      </c>
      <c r="Z24" s="5">
        <v>2338.1</v>
      </c>
      <c r="AA24" s="5">
        <v>2475.3000000000002</v>
      </c>
      <c r="AB24" s="5">
        <v>2623.8</v>
      </c>
      <c r="AC24" s="5">
        <v>2790.6</v>
      </c>
      <c r="AD24" s="5">
        <v>2983</v>
      </c>
      <c r="AE24" s="5">
        <v>3076.3</v>
      </c>
      <c r="AF24" s="5">
        <v>3155.6</v>
      </c>
      <c r="AG24" s="5">
        <v>3147.9</v>
      </c>
      <c r="AH24" s="5">
        <v>3136.5</v>
      </c>
      <c r="AI24" s="5">
        <v>3132.6</v>
      </c>
      <c r="AJ24" s="5">
        <v>3168.6</v>
      </c>
      <c r="AK24" s="5">
        <v>3233.4</v>
      </c>
      <c r="AL24" s="5">
        <v>3303</v>
      </c>
      <c r="AM24" s="5">
        <v>3397.1</v>
      </c>
      <c r="AN24" s="5">
        <v>3590.4</v>
      </c>
      <c r="AO24" s="5">
        <v>3786</v>
      </c>
      <c r="AP24" s="5">
        <v>3999.1</v>
      </c>
      <c r="AQ24" s="5">
        <v>4208.7</v>
      </c>
    </row>
    <row r="25" spans="1:43" x14ac:dyDescent="0.3">
      <c r="A25" s="3" t="s">
        <v>93</v>
      </c>
      <c r="B25" s="3">
        <v>274.89999999999998</v>
      </c>
      <c r="C25" s="3">
        <v>314</v>
      </c>
      <c r="D25" s="3">
        <v>348.3</v>
      </c>
      <c r="E25" s="3">
        <v>382.4</v>
      </c>
      <c r="F25" s="3">
        <v>411.8</v>
      </c>
      <c r="G25" s="3">
        <v>452.9</v>
      </c>
      <c r="H25" s="3">
        <v>481.7</v>
      </c>
      <c r="I25" s="3">
        <v>502.8</v>
      </c>
      <c r="J25" s="3">
        <v>511.4</v>
      </c>
      <c r="K25" s="3">
        <v>534.1</v>
      </c>
      <c r="L25" s="3">
        <v>562.4</v>
      </c>
      <c r="M25" s="3">
        <v>582.9</v>
      </c>
      <c r="N25" s="3">
        <v>588.5</v>
      </c>
      <c r="O25" s="3">
        <v>580.20000000000005</v>
      </c>
      <c r="P25" s="3">
        <v>574.70000000000005</v>
      </c>
      <c r="Q25" s="3">
        <v>576.70000000000005</v>
      </c>
      <c r="R25" s="3">
        <v>579.20000000000005</v>
      </c>
      <c r="S25" s="3">
        <v>583.29999999999995</v>
      </c>
      <c r="T25" s="3">
        <v>585.5</v>
      </c>
      <c r="U25" s="3">
        <v>610.70000000000005</v>
      </c>
      <c r="V25" s="3">
        <v>633.1</v>
      </c>
      <c r="W25" s="3">
        <v>670.2</v>
      </c>
      <c r="X25" s="3">
        <v>743.1</v>
      </c>
      <c r="Y25" s="3">
        <v>826.8</v>
      </c>
      <c r="Z25" s="3">
        <v>892.1</v>
      </c>
      <c r="AA25" s="3">
        <v>947.8</v>
      </c>
      <c r="AB25" s="3">
        <v>1001.2</v>
      </c>
      <c r="AC25" s="3">
        <v>1051</v>
      </c>
      <c r="AD25" s="3">
        <v>1152</v>
      </c>
      <c r="AE25" s="3">
        <v>1220.8</v>
      </c>
      <c r="AF25" s="3">
        <v>1300.2</v>
      </c>
      <c r="AG25" s="3">
        <v>1299.8</v>
      </c>
      <c r="AH25" s="3">
        <v>1287</v>
      </c>
      <c r="AI25" s="3">
        <v>1227.4000000000001</v>
      </c>
      <c r="AJ25" s="3">
        <v>1217.0999999999999</v>
      </c>
      <c r="AK25" s="3">
        <v>1222.8</v>
      </c>
      <c r="AL25" s="3">
        <v>1237.4000000000001</v>
      </c>
      <c r="AM25" s="3">
        <v>1266.0999999999999</v>
      </c>
      <c r="AN25" s="3">
        <v>1346.3</v>
      </c>
      <c r="AO25" s="3">
        <v>1419.5</v>
      </c>
      <c r="AP25" s="3">
        <v>1524.6</v>
      </c>
      <c r="AQ25" s="3">
        <v>1604.4</v>
      </c>
    </row>
    <row r="26" spans="1:43" x14ac:dyDescent="0.3">
      <c r="A26" s="3" t="s">
        <v>95</v>
      </c>
      <c r="B26" s="3">
        <v>183.4</v>
      </c>
      <c r="C26" s="3">
        <v>213.4</v>
      </c>
      <c r="D26" s="3">
        <v>245.4</v>
      </c>
      <c r="E26" s="3">
        <v>272.10000000000002</v>
      </c>
      <c r="F26" s="3">
        <v>298.8</v>
      </c>
      <c r="G26" s="3">
        <v>329.5</v>
      </c>
      <c r="H26" s="3">
        <v>352.4</v>
      </c>
      <c r="I26" s="3">
        <v>372.4</v>
      </c>
      <c r="J26" s="3">
        <v>382.1</v>
      </c>
      <c r="K26" s="3">
        <v>391.2</v>
      </c>
      <c r="L26" s="3">
        <v>405</v>
      </c>
      <c r="M26" s="3">
        <v>414</v>
      </c>
      <c r="N26" s="3">
        <v>406.5</v>
      </c>
      <c r="O26" s="3">
        <v>391.6</v>
      </c>
      <c r="P26" s="3">
        <v>382.1</v>
      </c>
      <c r="Q26" s="3">
        <v>377.2</v>
      </c>
      <c r="R26" s="3">
        <v>377.3</v>
      </c>
      <c r="S26" s="3">
        <v>372</v>
      </c>
      <c r="T26" s="3">
        <v>368.8</v>
      </c>
      <c r="U26" s="3">
        <v>383.3</v>
      </c>
      <c r="V26" s="3">
        <v>392.6</v>
      </c>
      <c r="W26" s="3">
        <v>413.2</v>
      </c>
      <c r="X26" s="3">
        <v>458.9</v>
      </c>
      <c r="Y26" s="3">
        <v>521.20000000000005</v>
      </c>
      <c r="Z26" s="3">
        <v>569.9</v>
      </c>
      <c r="AA26" s="3">
        <v>609.4</v>
      </c>
      <c r="AB26" s="3">
        <v>640.79999999999995</v>
      </c>
      <c r="AC26" s="3">
        <v>679.3</v>
      </c>
      <c r="AD26" s="3">
        <v>750.3</v>
      </c>
      <c r="AE26" s="3">
        <v>787.6</v>
      </c>
      <c r="AF26" s="3">
        <v>828</v>
      </c>
      <c r="AG26" s="3">
        <v>834</v>
      </c>
      <c r="AH26" s="3">
        <v>814.2</v>
      </c>
      <c r="AI26" s="3">
        <v>764.3</v>
      </c>
      <c r="AJ26" s="3">
        <v>744.1</v>
      </c>
      <c r="AK26" s="3">
        <v>730.4</v>
      </c>
      <c r="AL26" s="3">
        <v>729.4</v>
      </c>
      <c r="AM26" s="3">
        <v>748.3</v>
      </c>
      <c r="AN26" s="3">
        <v>795.1</v>
      </c>
      <c r="AO26" s="3">
        <v>849.5</v>
      </c>
      <c r="AP26" s="3">
        <v>884.9</v>
      </c>
      <c r="AQ26" s="3">
        <v>909.1</v>
      </c>
    </row>
    <row r="27" spans="1:43" x14ac:dyDescent="0.3">
      <c r="A27" s="3" t="s">
        <v>97</v>
      </c>
      <c r="B27" s="3">
        <v>91.5</v>
      </c>
      <c r="C27" s="3">
        <v>100.6</v>
      </c>
      <c r="D27" s="3">
        <v>102.9</v>
      </c>
      <c r="E27" s="3">
        <v>110.3</v>
      </c>
      <c r="F27" s="3">
        <v>113</v>
      </c>
      <c r="G27" s="3">
        <v>123.4</v>
      </c>
      <c r="H27" s="3">
        <v>129.30000000000001</v>
      </c>
      <c r="I27" s="3">
        <v>130.4</v>
      </c>
      <c r="J27" s="3">
        <v>129.30000000000001</v>
      </c>
      <c r="K27" s="3">
        <v>142.9</v>
      </c>
      <c r="L27" s="3">
        <v>157.4</v>
      </c>
      <c r="M27" s="3">
        <v>168.9</v>
      </c>
      <c r="N27" s="3">
        <v>182</v>
      </c>
      <c r="O27" s="3">
        <v>188.5</v>
      </c>
      <c r="P27" s="3">
        <v>192.6</v>
      </c>
      <c r="Q27" s="3">
        <v>199.5</v>
      </c>
      <c r="R27" s="3">
        <v>201.9</v>
      </c>
      <c r="S27" s="3">
        <v>211.3</v>
      </c>
      <c r="T27" s="3">
        <v>216.8</v>
      </c>
      <c r="U27" s="3">
        <v>227.5</v>
      </c>
      <c r="V27" s="3">
        <v>240.5</v>
      </c>
      <c r="W27" s="3">
        <v>257.10000000000002</v>
      </c>
      <c r="X27" s="3">
        <v>284.2</v>
      </c>
      <c r="Y27" s="3">
        <v>305.5</v>
      </c>
      <c r="Z27" s="3">
        <v>322.2</v>
      </c>
      <c r="AA27" s="3">
        <v>338.4</v>
      </c>
      <c r="AB27" s="3">
        <v>360.4</v>
      </c>
      <c r="AC27" s="3">
        <v>371.8</v>
      </c>
      <c r="AD27" s="3">
        <v>401.6</v>
      </c>
      <c r="AE27" s="3">
        <v>433.2</v>
      </c>
      <c r="AF27" s="3">
        <v>472.2</v>
      </c>
      <c r="AG27" s="3">
        <v>465.8</v>
      </c>
      <c r="AH27" s="3">
        <v>472.8</v>
      </c>
      <c r="AI27" s="3">
        <v>463.1</v>
      </c>
      <c r="AJ27" s="3">
        <v>473</v>
      </c>
      <c r="AK27" s="3">
        <v>492.4</v>
      </c>
      <c r="AL27" s="3">
        <v>507.9</v>
      </c>
      <c r="AM27" s="3">
        <v>517.79999999999995</v>
      </c>
      <c r="AN27" s="3">
        <v>551.20000000000005</v>
      </c>
      <c r="AO27" s="3">
        <v>570</v>
      </c>
      <c r="AP27" s="3">
        <v>639.70000000000005</v>
      </c>
      <c r="AQ27" s="3">
        <v>695.3</v>
      </c>
    </row>
    <row r="28" spans="1:43" x14ac:dyDescent="0.3">
      <c r="A28" s="3" t="s">
        <v>99</v>
      </c>
      <c r="B28" s="3">
        <v>314.7</v>
      </c>
      <c r="C28" s="3">
        <v>340.4</v>
      </c>
      <c r="D28" s="3">
        <v>363.1</v>
      </c>
      <c r="E28" s="3">
        <v>384.2</v>
      </c>
      <c r="F28" s="3">
        <v>416.1</v>
      </c>
      <c r="G28" s="3">
        <v>457.6</v>
      </c>
      <c r="H28" s="3">
        <v>494.4</v>
      </c>
      <c r="I28" s="3">
        <v>528.70000000000005</v>
      </c>
      <c r="J28" s="3">
        <v>567.4</v>
      </c>
      <c r="K28" s="3">
        <v>617.79999999999995</v>
      </c>
      <c r="L28" s="3">
        <v>676.2</v>
      </c>
      <c r="M28" s="3">
        <v>716</v>
      </c>
      <c r="N28" s="3">
        <v>756</v>
      </c>
      <c r="O28" s="3">
        <v>784.8</v>
      </c>
      <c r="P28" s="3">
        <v>827.6</v>
      </c>
      <c r="Q28" s="3">
        <v>872.7</v>
      </c>
      <c r="R28" s="3">
        <v>913.7</v>
      </c>
      <c r="S28" s="3">
        <v>963.8</v>
      </c>
      <c r="T28" s="3">
        <v>1026.0999999999999</v>
      </c>
      <c r="U28" s="3">
        <v>1109.2</v>
      </c>
      <c r="V28" s="3">
        <v>1193.4000000000001</v>
      </c>
      <c r="W28" s="3">
        <v>1279.8</v>
      </c>
      <c r="X28" s="3">
        <v>1346.4</v>
      </c>
      <c r="Y28" s="3">
        <v>1383.8</v>
      </c>
      <c r="Z28" s="3">
        <v>1446</v>
      </c>
      <c r="AA28" s="3">
        <v>1527.5</v>
      </c>
      <c r="AB28" s="3">
        <v>1622.7</v>
      </c>
      <c r="AC28" s="3">
        <v>1739.5</v>
      </c>
      <c r="AD28" s="3">
        <v>1831.1</v>
      </c>
      <c r="AE28" s="3">
        <v>1855.6</v>
      </c>
      <c r="AF28" s="3">
        <v>1855.4</v>
      </c>
      <c r="AG28" s="3">
        <v>1848.2</v>
      </c>
      <c r="AH28" s="3">
        <v>1849.5</v>
      </c>
      <c r="AI28" s="3">
        <v>1905.2</v>
      </c>
      <c r="AJ28" s="3">
        <v>1951.5</v>
      </c>
      <c r="AK28" s="3">
        <v>2010.6</v>
      </c>
      <c r="AL28" s="3">
        <v>2065.6999999999998</v>
      </c>
      <c r="AM28" s="3">
        <v>2131.1</v>
      </c>
      <c r="AN28" s="3">
        <v>2244.1</v>
      </c>
      <c r="AO28" s="3">
        <v>2366.5</v>
      </c>
      <c r="AP28" s="3">
        <v>2474.5</v>
      </c>
      <c r="AQ28" s="3">
        <v>2604.3000000000002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9B90-7294-42DA-9EF7-675ED3603CEB}">
  <dimension ref="A1:AS49"/>
  <sheetViews>
    <sheetView zoomScale="107" zoomScaleNormal="107" workbookViewId="0">
      <selection activeCell="C3" sqref="C3"/>
    </sheetView>
  </sheetViews>
  <sheetFormatPr defaultRowHeight="14.4" x14ac:dyDescent="0.3"/>
  <cols>
    <col min="1" max="1" width="1.6640625" customWidth="1"/>
    <col min="2" max="2" width="80" customWidth="1"/>
    <col min="3" max="3" width="11.77734375" customWidth="1"/>
  </cols>
  <sheetData>
    <row r="1" spans="1:44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4" t="s">
        <v>36</v>
      </c>
      <c r="AF1" s="4" t="s">
        <v>37</v>
      </c>
      <c r="AG1" s="4" t="s">
        <v>38</v>
      </c>
      <c r="AH1" s="4" t="s">
        <v>39</v>
      </c>
      <c r="AI1" s="4" t="s">
        <v>40</v>
      </c>
      <c r="AJ1" s="4" t="s">
        <v>41</v>
      </c>
      <c r="AK1" s="4" t="s">
        <v>42</v>
      </c>
      <c r="AL1" s="4" t="s">
        <v>43</v>
      </c>
      <c r="AM1" s="4" t="s">
        <v>44</v>
      </c>
      <c r="AN1" s="4" t="s">
        <v>45</v>
      </c>
      <c r="AO1" s="4" t="s">
        <v>46</v>
      </c>
      <c r="AP1" s="4" t="s">
        <v>47</v>
      </c>
      <c r="AQ1" s="4" t="s">
        <v>48</v>
      </c>
      <c r="AR1" s="4" t="s">
        <v>49</v>
      </c>
    </row>
    <row r="2" spans="1:44" x14ac:dyDescent="0.3">
      <c r="A2" s="3" t="s">
        <v>6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  <c r="H2" s="3" t="s">
        <v>7</v>
      </c>
      <c r="I2" s="3" t="s">
        <v>7</v>
      </c>
      <c r="J2" s="3" t="s">
        <v>7</v>
      </c>
      <c r="K2" s="3" t="s">
        <v>7</v>
      </c>
      <c r="L2" s="3" t="s">
        <v>7</v>
      </c>
      <c r="M2" s="3" t="s">
        <v>7</v>
      </c>
      <c r="N2" s="3" t="s">
        <v>7</v>
      </c>
      <c r="O2" s="3" t="s">
        <v>7</v>
      </c>
      <c r="P2" s="3" t="s">
        <v>7</v>
      </c>
      <c r="Q2" s="3" t="s">
        <v>7</v>
      </c>
      <c r="R2" s="3" t="s">
        <v>7</v>
      </c>
      <c r="S2" s="3" t="s">
        <v>7</v>
      </c>
      <c r="T2" s="3" t="s">
        <v>7</v>
      </c>
      <c r="U2" s="3" t="s">
        <v>7</v>
      </c>
      <c r="V2" s="3" t="s">
        <v>7</v>
      </c>
      <c r="W2" s="3" t="s">
        <v>7</v>
      </c>
      <c r="X2" s="3" t="s">
        <v>7</v>
      </c>
      <c r="Y2" s="3" t="s">
        <v>7</v>
      </c>
      <c r="Z2" s="3" t="s">
        <v>7</v>
      </c>
      <c r="AA2" s="3" t="s">
        <v>7</v>
      </c>
      <c r="AB2" s="3" t="s">
        <v>7</v>
      </c>
      <c r="AC2" s="3" t="s">
        <v>7</v>
      </c>
      <c r="AD2" s="3" t="s">
        <v>7</v>
      </c>
      <c r="AE2" s="3" t="s">
        <v>7</v>
      </c>
      <c r="AF2" s="3" t="s">
        <v>7</v>
      </c>
      <c r="AG2" s="3" t="s">
        <v>7</v>
      </c>
      <c r="AH2" s="3" t="s">
        <v>7</v>
      </c>
      <c r="AI2" s="3" t="s">
        <v>7</v>
      </c>
      <c r="AJ2" s="3" t="s">
        <v>7</v>
      </c>
      <c r="AK2" s="3" t="s">
        <v>7</v>
      </c>
      <c r="AL2" s="3" t="s">
        <v>7</v>
      </c>
      <c r="AM2" s="3" t="s">
        <v>7</v>
      </c>
      <c r="AN2" s="3" t="s">
        <v>7</v>
      </c>
      <c r="AO2" s="3" t="s">
        <v>7</v>
      </c>
      <c r="AP2" s="3" t="s">
        <v>7</v>
      </c>
      <c r="AQ2" s="3" t="s">
        <v>7</v>
      </c>
      <c r="AR2" s="3" t="s">
        <v>7</v>
      </c>
    </row>
    <row r="3" spans="1:44" x14ac:dyDescent="0.3">
      <c r="A3" s="3" t="s">
        <v>50</v>
      </c>
      <c r="B3" s="5" t="s">
        <v>103</v>
      </c>
      <c r="C3" s="5">
        <v>2324.5</v>
      </c>
      <c r="D3" s="5">
        <v>2603.1999999999998</v>
      </c>
      <c r="E3" s="5">
        <v>2789.5</v>
      </c>
      <c r="F3" s="5">
        <v>2981.7</v>
      </c>
      <c r="G3" s="5">
        <v>3288.7</v>
      </c>
      <c r="H3" s="5">
        <v>3522.9</v>
      </c>
      <c r="I3" s="5">
        <v>3731.2</v>
      </c>
      <c r="J3" s="5">
        <v>3946.8</v>
      </c>
      <c r="K3" s="5">
        <v>4280</v>
      </c>
      <c r="L3" s="5">
        <v>4621</v>
      </c>
      <c r="M3" s="5">
        <v>4913.3</v>
      </c>
      <c r="N3" s="5">
        <v>5089.8999999999996</v>
      </c>
      <c r="O3" s="5">
        <v>5417.5</v>
      </c>
      <c r="P3" s="5">
        <v>5652.9</v>
      </c>
      <c r="Q3" s="5">
        <v>5940.9</v>
      </c>
      <c r="R3" s="5">
        <v>6283.4</v>
      </c>
      <c r="S3" s="5">
        <v>6666.2</v>
      </c>
      <c r="T3" s="5">
        <v>7074</v>
      </c>
      <c r="U3" s="5">
        <v>7588.4</v>
      </c>
      <c r="V3" s="5">
        <v>7978.6</v>
      </c>
      <c r="W3" s="5">
        <v>8621.2999999999993</v>
      </c>
      <c r="X3" s="5">
        <v>8993.1</v>
      </c>
      <c r="Y3" s="5">
        <v>9150</v>
      </c>
      <c r="Z3" s="5">
        <v>9481.7999999999993</v>
      </c>
      <c r="AA3" s="5">
        <v>10015.9</v>
      </c>
      <c r="AB3" s="5">
        <v>10546.1</v>
      </c>
      <c r="AC3" s="5">
        <v>11302</v>
      </c>
      <c r="AD3" s="5">
        <v>11932.1</v>
      </c>
      <c r="AE3" s="5">
        <v>12425.7</v>
      </c>
      <c r="AF3" s="5">
        <v>12065.7</v>
      </c>
      <c r="AG3" s="5">
        <v>12556.6</v>
      </c>
      <c r="AH3" s="5">
        <v>13309.6</v>
      </c>
      <c r="AI3" s="5">
        <v>13917.8</v>
      </c>
      <c r="AJ3" s="5">
        <v>14068.8</v>
      </c>
      <c r="AK3" s="5">
        <v>14784.1</v>
      </c>
      <c r="AL3" s="5">
        <v>15473.7</v>
      </c>
      <c r="AM3" s="5">
        <v>15887.7</v>
      </c>
      <c r="AN3" s="5">
        <v>16662.8</v>
      </c>
      <c r="AO3" s="5">
        <v>17528.2</v>
      </c>
      <c r="AP3" s="5">
        <v>18363.2</v>
      </c>
      <c r="AQ3" s="5">
        <v>19631.7</v>
      </c>
      <c r="AR3" s="5">
        <v>21498.9</v>
      </c>
    </row>
    <row r="4" spans="1:44" x14ac:dyDescent="0.3">
      <c r="A4" s="3" t="s">
        <v>52</v>
      </c>
      <c r="B4" s="3" t="s">
        <v>104</v>
      </c>
      <c r="C4" s="3">
        <v>1622.2</v>
      </c>
      <c r="D4" s="3">
        <v>1792.5</v>
      </c>
      <c r="E4" s="3">
        <v>1893</v>
      </c>
      <c r="F4" s="3">
        <v>2012.5</v>
      </c>
      <c r="G4" s="3">
        <v>2215.9</v>
      </c>
      <c r="H4" s="3">
        <v>2387.3000000000002</v>
      </c>
      <c r="I4" s="3">
        <v>2542.1</v>
      </c>
      <c r="J4" s="3">
        <v>2722.4</v>
      </c>
      <c r="K4" s="3">
        <v>2948</v>
      </c>
      <c r="L4" s="3">
        <v>3139.6</v>
      </c>
      <c r="M4" s="3">
        <v>3340.4</v>
      </c>
      <c r="N4" s="3">
        <v>3450.5</v>
      </c>
      <c r="O4" s="3">
        <v>3668.2</v>
      </c>
      <c r="P4" s="3">
        <v>3817.3</v>
      </c>
      <c r="Q4" s="3">
        <v>4006.2</v>
      </c>
      <c r="R4" s="3">
        <v>4198.1000000000004</v>
      </c>
      <c r="S4" s="3">
        <v>4416.8999999999996</v>
      </c>
      <c r="T4" s="3">
        <v>4708.8</v>
      </c>
      <c r="U4" s="3">
        <v>5071.1000000000004</v>
      </c>
      <c r="V4" s="3">
        <v>5402.7</v>
      </c>
      <c r="W4" s="3">
        <v>5847.1</v>
      </c>
      <c r="X4" s="3">
        <v>6038.3</v>
      </c>
      <c r="Y4" s="3">
        <v>6135.1</v>
      </c>
      <c r="Z4" s="3">
        <v>6353.6</v>
      </c>
      <c r="AA4" s="3">
        <v>6719.5</v>
      </c>
      <c r="AB4" s="3">
        <v>7066.1</v>
      </c>
      <c r="AC4" s="3">
        <v>7479.7</v>
      </c>
      <c r="AD4" s="3">
        <v>7878.5</v>
      </c>
      <c r="AE4" s="3">
        <v>8056.8</v>
      </c>
      <c r="AF4" s="3">
        <v>7759</v>
      </c>
      <c r="AG4" s="3">
        <v>7925.4</v>
      </c>
      <c r="AH4" s="3">
        <v>8226.2000000000007</v>
      </c>
      <c r="AI4" s="3">
        <v>8567.4</v>
      </c>
      <c r="AJ4" s="3">
        <v>8835</v>
      </c>
      <c r="AK4" s="3">
        <v>9250.2000000000007</v>
      </c>
      <c r="AL4" s="3">
        <v>9699.4</v>
      </c>
      <c r="AM4" s="3">
        <v>9966.1</v>
      </c>
      <c r="AN4" s="3">
        <v>10424.4</v>
      </c>
      <c r="AO4" s="3">
        <v>10957.4</v>
      </c>
      <c r="AP4" s="3">
        <v>11446.6</v>
      </c>
      <c r="AQ4" s="3">
        <v>11598.1</v>
      </c>
      <c r="AR4" s="3">
        <v>12558.4</v>
      </c>
    </row>
    <row r="5" spans="1:44" x14ac:dyDescent="0.3">
      <c r="A5" s="3" t="s">
        <v>54</v>
      </c>
      <c r="B5" s="3" t="s">
        <v>105</v>
      </c>
      <c r="C5" s="3">
        <v>1373.4</v>
      </c>
      <c r="D5" s="3">
        <v>1511.4</v>
      </c>
      <c r="E5" s="3">
        <v>1587.5</v>
      </c>
      <c r="F5" s="3">
        <v>1677.5</v>
      </c>
      <c r="G5" s="3">
        <v>1844.9</v>
      </c>
      <c r="H5" s="3">
        <v>1982.6</v>
      </c>
      <c r="I5" s="3">
        <v>2102.3000000000002</v>
      </c>
      <c r="J5" s="3">
        <v>2256.3000000000002</v>
      </c>
      <c r="K5" s="3">
        <v>2439.8000000000002</v>
      </c>
      <c r="L5" s="3">
        <v>2583.1</v>
      </c>
      <c r="M5" s="3">
        <v>2741.2</v>
      </c>
      <c r="N5" s="3">
        <v>2814.5</v>
      </c>
      <c r="O5" s="3">
        <v>2965.5</v>
      </c>
      <c r="P5" s="3">
        <v>3079.3</v>
      </c>
      <c r="Q5" s="3">
        <v>3236.6</v>
      </c>
      <c r="R5" s="3">
        <v>3418</v>
      </c>
      <c r="S5" s="3">
        <v>3616.5</v>
      </c>
      <c r="T5" s="3">
        <v>3876.8</v>
      </c>
      <c r="U5" s="3">
        <v>4181.6000000000004</v>
      </c>
      <c r="V5" s="3">
        <v>4457.8999999999996</v>
      </c>
      <c r="W5" s="3">
        <v>4824.8999999999996</v>
      </c>
      <c r="X5" s="3">
        <v>4953.6000000000004</v>
      </c>
      <c r="Y5" s="3">
        <v>4995.8</v>
      </c>
      <c r="Z5" s="3">
        <v>5138.3</v>
      </c>
      <c r="AA5" s="3">
        <v>5421</v>
      </c>
      <c r="AB5" s="3">
        <v>5691.4</v>
      </c>
      <c r="AC5" s="3">
        <v>6056.7</v>
      </c>
      <c r="AD5" s="3">
        <v>6396.4</v>
      </c>
      <c r="AE5" s="3">
        <v>6534.1</v>
      </c>
      <c r="AF5" s="3">
        <v>6249.1</v>
      </c>
      <c r="AG5" s="3">
        <v>6372.5</v>
      </c>
      <c r="AH5" s="3">
        <v>6626.2</v>
      </c>
      <c r="AI5" s="3">
        <v>6928.1</v>
      </c>
      <c r="AJ5" s="3">
        <v>7114</v>
      </c>
      <c r="AK5" s="3">
        <v>7476.3</v>
      </c>
      <c r="AL5" s="3">
        <v>7859.5</v>
      </c>
      <c r="AM5" s="3">
        <v>8091.2</v>
      </c>
      <c r="AN5" s="3">
        <v>8474.4</v>
      </c>
      <c r="AO5" s="3">
        <v>8899.7999999999993</v>
      </c>
      <c r="AP5" s="3">
        <v>9325.1</v>
      </c>
      <c r="AQ5" s="3">
        <v>9465.2999999999993</v>
      </c>
      <c r="AR5" s="3">
        <v>10315</v>
      </c>
    </row>
    <row r="6" spans="1:44" x14ac:dyDescent="0.3">
      <c r="A6" s="3" t="s">
        <v>56</v>
      </c>
      <c r="B6" s="3" t="s">
        <v>106</v>
      </c>
      <c r="C6" s="3">
        <v>1112</v>
      </c>
      <c r="D6" s="3">
        <v>1225.5</v>
      </c>
      <c r="E6" s="3">
        <v>1280</v>
      </c>
      <c r="F6" s="3">
        <v>1352.7</v>
      </c>
      <c r="G6" s="3">
        <v>1496.8</v>
      </c>
      <c r="H6" s="3">
        <v>1608.7</v>
      </c>
      <c r="I6" s="3">
        <v>1705.1</v>
      </c>
      <c r="J6" s="3">
        <v>1833.2</v>
      </c>
      <c r="K6" s="3">
        <v>1987.7</v>
      </c>
      <c r="L6" s="3">
        <v>2101.9</v>
      </c>
      <c r="M6" s="3">
        <v>2222.1999999999998</v>
      </c>
      <c r="N6" s="3">
        <v>2265.6999999999998</v>
      </c>
      <c r="O6" s="3">
        <v>2393.5</v>
      </c>
      <c r="P6" s="3">
        <v>2490.3000000000002</v>
      </c>
      <c r="Q6" s="3">
        <v>2627.1</v>
      </c>
      <c r="R6" s="3">
        <v>2789</v>
      </c>
      <c r="S6" s="3">
        <v>2968.4</v>
      </c>
      <c r="T6" s="3">
        <v>3205</v>
      </c>
      <c r="U6" s="3">
        <v>3480.3</v>
      </c>
      <c r="V6" s="3">
        <v>3724.2</v>
      </c>
      <c r="W6" s="3">
        <v>4045.2</v>
      </c>
      <c r="X6" s="3">
        <v>4131.6000000000004</v>
      </c>
      <c r="Y6" s="3">
        <v>4123</v>
      </c>
      <c r="Z6" s="3">
        <v>4224.3</v>
      </c>
      <c r="AA6" s="3">
        <v>4468.7</v>
      </c>
      <c r="AB6" s="3">
        <v>4700.1000000000004</v>
      </c>
      <c r="AC6" s="3">
        <v>5022.2</v>
      </c>
      <c r="AD6" s="3">
        <v>5307.8</v>
      </c>
      <c r="AE6" s="3">
        <v>5390.2</v>
      </c>
      <c r="AF6" s="3">
        <v>5073.8999999999996</v>
      </c>
      <c r="AG6" s="3">
        <v>5181.3</v>
      </c>
      <c r="AH6" s="3">
        <v>5431.3</v>
      </c>
      <c r="AI6" s="3">
        <v>5729.8</v>
      </c>
      <c r="AJ6" s="3">
        <v>5906</v>
      </c>
      <c r="AK6" s="3">
        <v>6239.4</v>
      </c>
      <c r="AL6" s="3">
        <v>6583.7</v>
      </c>
      <c r="AM6" s="3">
        <v>6783.2</v>
      </c>
      <c r="AN6" s="3">
        <v>7126.2</v>
      </c>
      <c r="AO6" s="3">
        <v>7498</v>
      </c>
      <c r="AP6" s="3">
        <v>7874.8</v>
      </c>
      <c r="AQ6" s="3">
        <v>7971.1</v>
      </c>
      <c r="AR6" s="3">
        <v>8770.6</v>
      </c>
    </row>
    <row r="7" spans="1:44" x14ac:dyDescent="0.3">
      <c r="A7" s="3" t="s">
        <v>58</v>
      </c>
      <c r="B7" s="3" t="s">
        <v>107</v>
      </c>
      <c r="C7" s="3">
        <v>261.5</v>
      </c>
      <c r="D7" s="3">
        <v>285.8</v>
      </c>
      <c r="E7" s="3">
        <v>307.5</v>
      </c>
      <c r="F7" s="3">
        <v>324.8</v>
      </c>
      <c r="G7" s="3">
        <v>348.1</v>
      </c>
      <c r="H7" s="3">
        <v>373.9</v>
      </c>
      <c r="I7" s="3">
        <v>397.2</v>
      </c>
      <c r="J7" s="3">
        <v>423.1</v>
      </c>
      <c r="K7" s="3">
        <v>452</v>
      </c>
      <c r="L7" s="3">
        <v>481.1</v>
      </c>
      <c r="M7" s="3">
        <v>519</v>
      </c>
      <c r="N7" s="3">
        <v>548.79999999999995</v>
      </c>
      <c r="O7" s="3">
        <v>572</v>
      </c>
      <c r="P7" s="3">
        <v>589</v>
      </c>
      <c r="Q7" s="3">
        <v>609.5</v>
      </c>
      <c r="R7" s="3">
        <v>629</v>
      </c>
      <c r="S7" s="3">
        <v>648.1</v>
      </c>
      <c r="T7" s="3">
        <v>671.9</v>
      </c>
      <c r="U7" s="3">
        <v>701.3</v>
      </c>
      <c r="V7" s="3">
        <v>733.8</v>
      </c>
      <c r="W7" s="3">
        <v>779.8</v>
      </c>
      <c r="X7" s="3">
        <v>822</v>
      </c>
      <c r="Y7" s="3">
        <v>872.9</v>
      </c>
      <c r="Z7" s="3">
        <v>914</v>
      </c>
      <c r="AA7" s="3">
        <v>952.3</v>
      </c>
      <c r="AB7" s="3">
        <v>991.3</v>
      </c>
      <c r="AC7" s="3">
        <v>1034.5</v>
      </c>
      <c r="AD7" s="3">
        <v>1088.5</v>
      </c>
      <c r="AE7" s="3">
        <v>1143.9000000000001</v>
      </c>
      <c r="AF7" s="3">
        <v>1175.2</v>
      </c>
      <c r="AG7" s="3">
        <v>1191.2</v>
      </c>
      <c r="AH7" s="3">
        <v>1194.9000000000001</v>
      </c>
      <c r="AI7" s="3">
        <v>1198.3</v>
      </c>
      <c r="AJ7" s="3">
        <v>1208</v>
      </c>
      <c r="AK7" s="3">
        <v>1236.9000000000001</v>
      </c>
      <c r="AL7" s="3">
        <v>1275.8</v>
      </c>
      <c r="AM7" s="3">
        <v>1308</v>
      </c>
      <c r="AN7" s="3">
        <v>1348.2</v>
      </c>
      <c r="AO7" s="3">
        <v>1401.9</v>
      </c>
      <c r="AP7" s="3">
        <v>1450.3</v>
      </c>
      <c r="AQ7" s="3">
        <v>1494.3</v>
      </c>
      <c r="AR7" s="3">
        <v>1544.4</v>
      </c>
    </row>
    <row r="8" spans="1:44" x14ac:dyDescent="0.3">
      <c r="A8" s="3" t="s">
        <v>60</v>
      </c>
      <c r="B8" s="3" t="s">
        <v>108</v>
      </c>
      <c r="C8" s="3">
        <v>248.8</v>
      </c>
      <c r="D8" s="3">
        <v>281.2</v>
      </c>
      <c r="E8" s="3">
        <v>305.5</v>
      </c>
      <c r="F8" s="3">
        <v>335</v>
      </c>
      <c r="G8" s="3">
        <v>371</v>
      </c>
      <c r="H8" s="3">
        <v>404.8</v>
      </c>
      <c r="I8" s="3">
        <v>439.7</v>
      </c>
      <c r="J8" s="3">
        <v>466.1</v>
      </c>
      <c r="K8" s="3">
        <v>508.2</v>
      </c>
      <c r="L8" s="3">
        <v>556.6</v>
      </c>
      <c r="M8" s="3">
        <v>599.20000000000005</v>
      </c>
      <c r="N8" s="3">
        <v>636</v>
      </c>
      <c r="O8" s="3">
        <v>702.7</v>
      </c>
      <c r="P8" s="3">
        <v>737.9</v>
      </c>
      <c r="Q8" s="3">
        <v>769.6</v>
      </c>
      <c r="R8" s="3">
        <v>780.1</v>
      </c>
      <c r="S8" s="3">
        <v>800.5</v>
      </c>
      <c r="T8" s="3">
        <v>832</v>
      </c>
      <c r="U8" s="3">
        <v>889.5</v>
      </c>
      <c r="V8" s="3">
        <v>944.8</v>
      </c>
      <c r="W8" s="3">
        <v>1022.2</v>
      </c>
      <c r="X8" s="3">
        <v>1084.7</v>
      </c>
      <c r="Y8" s="3">
        <v>1139.3</v>
      </c>
      <c r="Z8" s="3">
        <v>1215.3</v>
      </c>
      <c r="AA8" s="3">
        <v>1298.5</v>
      </c>
      <c r="AB8" s="3">
        <v>1374.7</v>
      </c>
      <c r="AC8" s="3">
        <v>1422.9</v>
      </c>
      <c r="AD8" s="3">
        <v>1482.1</v>
      </c>
      <c r="AE8" s="3">
        <v>1522.7</v>
      </c>
      <c r="AF8" s="3">
        <v>1509.9</v>
      </c>
      <c r="AG8" s="3">
        <v>1552.9</v>
      </c>
      <c r="AH8" s="3">
        <v>1600</v>
      </c>
      <c r="AI8" s="3">
        <v>1639.2</v>
      </c>
      <c r="AJ8" s="3">
        <v>1721</v>
      </c>
      <c r="AK8" s="3">
        <v>1773.9</v>
      </c>
      <c r="AL8" s="3">
        <v>1839.9</v>
      </c>
      <c r="AM8" s="3">
        <v>1874.9</v>
      </c>
      <c r="AN8" s="3">
        <v>1950</v>
      </c>
      <c r="AO8" s="3">
        <v>2057.6</v>
      </c>
      <c r="AP8" s="3">
        <v>2121.5</v>
      </c>
      <c r="AQ8" s="3">
        <v>2132.8000000000002</v>
      </c>
      <c r="AR8" s="3">
        <v>2243.4</v>
      </c>
    </row>
    <row r="9" spans="1:44" x14ac:dyDescent="0.3">
      <c r="A9" s="3" t="s">
        <v>62</v>
      </c>
      <c r="B9" s="3" t="s">
        <v>109</v>
      </c>
      <c r="C9" s="3">
        <v>159.9</v>
      </c>
      <c r="D9" s="3">
        <v>177.5</v>
      </c>
      <c r="E9" s="3">
        <v>195.7</v>
      </c>
      <c r="F9" s="3">
        <v>215.1</v>
      </c>
      <c r="G9" s="3">
        <v>231.9</v>
      </c>
      <c r="H9" s="3">
        <v>257</v>
      </c>
      <c r="I9" s="3">
        <v>281.89999999999998</v>
      </c>
      <c r="J9" s="3">
        <v>299.89999999999998</v>
      </c>
      <c r="K9" s="3">
        <v>323.60000000000002</v>
      </c>
      <c r="L9" s="3">
        <v>362.9</v>
      </c>
      <c r="M9" s="3">
        <v>392.7</v>
      </c>
      <c r="N9" s="3">
        <v>420.9</v>
      </c>
      <c r="O9" s="3">
        <v>474.3</v>
      </c>
      <c r="P9" s="3">
        <v>498.3</v>
      </c>
      <c r="Q9" s="3">
        <v>515.5</v>
      </c>
      <c r="R9" s="3">
        <v>515.9</v>
      </c>
      <c r="S9" s="3">
        <v>525.70000000000005</v>
      </c>
      <c r="T9" s="3">
        <v>542.4</v>
      </c>
      <c r="U9" s="3">
        <v>582.29999999999995</v>
      </c>
      <c r="V9" s="3">
        <v>621.4</v>
      </c>
      <c r="W9" s="3">
        <v>677</v>
      </c>
      <c r="X9" s="3">
        <v>726.7</v>
      </c>
      <c r="Y9" s="3">
        <v>773.2</v>
      </c>
      <c r="Z9" s="3">
        <v>832.8</v>
      </c>
      <c r="AA9" s="3">
        <v>889.7</v>
      </c>
      <c r="AB9" s="3">
        <v>946.7</v>
      </c>
      <c r="AC9" s="3">
        <v>975.6</v>
      </c>
      <c r="AD9" s="3">
        <v>1020.4</v>
      </c>
      <c r="AE9" s="3">
        <v>1051.3</v>
      </c>
      <c r="AF9" s="3">
        <v>1051.8</v>
      </c>
      <c r="AG9" s="3">
        <v>1083.9000000000001</v>
      </c>
      <c r="AH9" s="3">
        <v>1107.3</v>
      </c>
      <c r="AI9" s="3">
        <v>1125.9000000000001</v>
      </c>
      <c r="AJ9" s="3">
        <v>1194.7</v>
      </c>
      <c r="AK9" s="3">
        <v>1227.5</v>
      </c>
      <c r="AL9" s="3">
        <v>1270.5999999999999</v>
      </c>
      <c r="AM9" s="3">
        <v>1293.9000000000001</v>
      </c>
      <c r="AN9" s="3">
        <v>1345.3</v>
      </c>
      <c r="AO9" s="3">
        <v>1432.8</v>
      </c>
      <c r="AP9" s="3">
        <v>1470.8</v>
      </c>
      <c r="AQ9" s="3">
        <v>1474</v>
      </c>
      <c r="AR9" s="3">
        <v>1536.5</v>
      </c>
    </row>
    <row r="10" spans="1:44" x14ac:dyDescent="0.3">
      <c r="A10" s="3" t="s">
        <v>64</v>
      </c>
      <c r="B10" s="3" t="s">
        <v>110</v>
      </c>
      <c r="C10" s="3">
        <v>88.9</v>
      </c>
      <c r="D10" s="3">
        <v>103.6</v>
      </c>
      <c r="E10" s="3">
        <v>109.8</v>
      </c>
      <c r="F10" s="3">
        <v>119.9</v>
      </c>
      <c r="G10" s="3">
        <v>139</v>
      </c>
      <c r="H10" s="3">
        <v>147.69999999999999</v>
      </c>
      <c r="I10" s="3">
        <v>157.9</v>
      </c>
      <c r="J10" s="3">
        <v>166.3</v>
      </c>
      <c r="K10" s="3">
        <v>184.6</v>
      </c>
      <c r="L10" s="3">
        <v>193.7</v>
      </c>
      <c r="M10" s="3">
        <v>206.5</v>
      </c>
      <c r="N10" s="3">
        <v>215.1</v>
      </c>
      <c r="O10" s="3">
        <v>228.4</v>
      </c>
      <c r="P10" s="3">
        <v>239.7</v>
      </c>
      <c r="Q10" s="3">
        <v>254.1</v>
      </c>
      <c r="R10" s="3">
        <v>264.10000000000002</v>
      </c>
      <c r="S10" s="3">
        <v>274.8</v>
      </c>
      <c r="T10" s="3">
        <v>289.60000000000002</v>
      </c>
      <c r="U10" s="3">
        <v>307.2</v>
      </c>
      <c r="V10" s="3">
        <v>323.3</v>
      </c>
      <c r="W10" s="3">
        <v>345.2</v>
      </c>
      <c r="X10" s="3">
        <v>358</v>
      </c>
      <c r="Y10" s="3">
        <v>366</v>
      </c>
      <c r="Z10" s="3">
        <v>382.5</v>
      </c>
      <c r="AA10" s="3">
        <v>408.8</v>
      </c>
      <c r="AB10" s="3">
        <v>428.1</v>
      </c>
      <c r="AC10" s="3">
        <v>447.3</v>
      </c>
      <c r="AD10" s="3">
        <v>461.7</v>
      </c>
      <c r="AE10" s="3">
        <v>471.4</v>
      </c>
      <c r="AF10" s="3">
        <v>458.1</v>
      </c>
      <c r="AG10" s="3">
        <v>469</v>
      </c>
      <c r="AH10" s="3">
        <v>492.7</v>
      </c>
      <c r="AI10" s="3">
        <v>513.29999999999995</v>
      </c>
      <c r="AJ10" s="3">
        <v>526.29999999999995</v>
      </c>
      <c r="AK10" s="3">
        <v>546.4</v>
      </c>
      <c r="AL10" s="3">
        <v>569.4</v>
      </c>
      <c r="AM10" s="3">
        <v>580.9</v>
      </c>
      <c r="AN10" s="3">
        <v>604.70000000000005</v>
      </c>
      <c r="AO10" s="3">
        <v>624.79999999999995</v>
      </c>
      <c r="AP10" s="3">
        <v>650.6</v>
      </c>
      <c r="AQ10" s="3">
        <v>658.8</v>
      </c>
      <c r="AR10" s="3">
        <v>706.9</v>
      </c>
    </row>
    <row r="11" spans="1:44" x14ac:dyDescent="0.3">
      <c r="A11" s="3" t="s">
        <v>66</v>
      </c>
      <c r="B11" s="3" t="s">
        <v>111</v>
      </c>
      <c r="C11" s="3">
        <v>171.6</v>
      </c>
      <c r="D11" s="3">
        <v>179.7</v>
      </c>
      <c r="E11" s="3">
        <v>171.2</v>
      </c>
      <c r="F11" s="3">
        <v>186.3</v>
      </c>
      <c r="G11" s="3">
        <v>228.2</v>
      </c>
      <c r="H11" s="3">
        <v>241.1</v>
      </c>
      <c r="I11" s="3">
        <v>256.5</v>
      </c>
      <c r="J11" s="3">
        <v>286.5</v>
      </c>
      <c r="K11" s="3">
        <v>325.5</v>
      </c>
      <c r="L11" s="3">
        <v>341.1</v>
      </c>
      <c r="M11" s="3">
        <v>353.2</v>
      </c>
      <c r="N11" s="3">
        <v>354.2</v>
      </c>
      <c r="O11" s="3">
        <v>400.2</v>
      </c>
      <c r="P11" s="3">
        <v>428</v>
      </c>
      <c r="Q11" s="3">
        <v>456.6</v>
      </c>
      <c r="R11" s="3">
        <v>481.2</v>
      </c>
      <c r="S11" s="3">
        <v>543.79999999999995</v>
      </c>
      <c r="T11" s="3">
        <v>584</v>
      </c>
      <c r="U11" s="3">
        <v>640.29999999999995</v>
      </c>
      <c r="V11" s="3">
        <v>696.4</v>
      </c>
      <c r="W11" s="3">
        <v>753.6</v>
      </c>
      <c r="X11" s="3">
        <v>831.1</v>
      </c>
      <c r="Y11" s="3">
        <v>870.1</v>
      </c>
      <c r="Z11" s="3">
        <v>897.5</v>
      </c>
      <c r="AA11" s="3">
        <v>962.9</v>
      </c>
      <c r="AB11" s="3">
        <v>979.1</v>
      </c>
      <c r="AC11" s="3">
        <v>1050.9000000000001</v>
      </c>
      <c r="AD11" s="3">
        <v>995.4</v>
      </c>
      <c r="AE11" s="3">
        <v>960.3</v>
      </c>
      <c r="AF11" s="3">
        <v>938.1</v>
      </c>
      <c r="AG11" s="3">
        <v>1108.5</v>
      </c>
      <c r="AH11" s="3">
        <v>1228.3</v>
      </c>
      <c r="AI11" s="3">
        <v>1299.9000000000001</v>
      </c>
      <c r="AJ11" s="3">
        <v>1351.7</v>
      </c>
      <c r="AK11" s="3">
        <v>1370</v>
      </c>
      <c r="AL11" s="3">
        <v>1347.7</v>
      </c>
      <c r="AM11" s="3">
        <v>1349.2</v>
      </c>
      <c r="AN11" s="3">
        <v>1428.6</v>
      </c>
      <c r="AO11" s="3">
        <v>1495.3</v>
      </c>
      <c r="AP11" s="3">
        <v>1555.8</v>
      </c>
      <c r="AQ11" s="3">
        <v>1599.5</v>
      </c>
      <c r="AR11" s="3">
        <v>1818.7</v>
      </c>
    </row>
    <row r="12" spans="1:44" x14ac:dyDescent="0.3">
      <c r="A12" s="3" t="s">
        <v>68</v>
      </c>
      <c r="B12" s="3" t="s">
        <v>112</v>
      </c>
      <c r="C12" s="3">
        <v>11.7</v>
      </c>
      <c r="D12" s="3">
        <v>19</v>
      </c>
      <c r="E12" s="3">
        <v>13.3</v>
      </c>
      <c r="F12" s="3">
        <v>6.2</v>
      </c>
      <c r="G12" s="3">
        <v>20.9</v>
      </c>
      <c r="H12" s="3">
        <v>21</v>
      </c>
      <c r="I12" s="3">
        <v>22.8</v>
      </c>
      <c r="J12" s="3">
        <v>28.9</v>
      </c>
      <c r="K12" s="3">
        <v>26.8</v>
      </c>
      <c r="L12" s="3">
        <v>33</v>
      </c>
      <c r="M12" s="3">
        <v>32.200000000000003</v>
      </c>
      <c r="N12" s="3">
        <v>26.8</v>
      </c>
      <c r="O12" s="3">
        <v>34.799999999999997</v>
      </c>
      <c r="P12" s="3">
        <v>31.4</v>
      </c>
      <c r="Q12" s="3">
        <v>34.700000000000003</v>
      </c>
      <c r="R12" s="3">
        <v>22</v>
      </c>
      <c r="S12" s="3">
        <v>37.299999999999997</v>
      </c>
      <c r="T12" s="3">
        <v>32.4</v>
      </c>
      <c r="U12" s="3">
        <v>28.6</v>
      </c>
      <c r="V12" s="3">
        <v>28</v>
      </c>
      <c r="W12" s="3">
        <v>31.2</v>
      </c>
      <c r="X12" s="3">
        <v>32.1</v>
      </c>
      <c r="Y12" s="3">
        <v>20.3</v>
      </c>
      <c r="Z12" s="3">
        <v>37.1</v>
      </c>
      <c r="AA12" s="3">
        <v>52.4</v>
      </c>
      <c r="AB12" s="3">
        <v>47.9</v>
      </c>
      <c r="AC12" s="3">
        <v>34.299999999999997</v>
      </c>
      <c r="AD12" s="3">
        <v>41.5</v>
      </c>
      <c r="AE12" s="3">
        <v>39.5</v>
      </c>
      <c r="AF12" s="3">
        <v>27.6</v>
      </c>
      <c r="AG12" s="3">
        <v>38.700000000000003</v>
      </c>
      <c r="AH12" s="3">
        <v>63.9</v>
      </c>
      <c r="AI12" s="3">
        <v>61</v>
      </c>
      <c r="AJ12" s="3">
        <v>87.5</v>
      </c>
      <c r="AK12" s="3">
        <v>68.5</v>
      </c>
      <c r="AL12" s="3">
        <v>55.5</v>
      </c>
      <c r="AM12" s="3">
        <v>36</v>
      </c>
      <c r="AN12" s="3">
        <v>41</v>
      </c>
      <c r="AO12" s="3">
        <v>32.1</v>
      </c>
      <c r="AP12" s="3">
        <v>33.799999999999997</v>
      </c>
      <c r="AQ12" s="3">
        <v>51.1</v>
      </c>
      <c r="AR12" s="3">
        <v>74.5</v>
      </c>
    </row>
    <row r="13" spans="1:44" x14ac:dyDescent="0.3">
      <c r="A13" s="3" t="s">
        <v>70</v>
      </c>
      <c r="B13" s="3" t="s">
        <v>113</v>
      </c>
      <c r="C13" s="3">
        <v>159.9</v>
      </c>
      <c r="D13" s="3">
        <v>160.69999999999999</v>
      </c>
      <c r="E13" s="3">
        <v>157.9</v>
      </c>
      <c r="F13" s="3">
        <v>180.1</v>
      </c>
      <c r="G13" s="3">
        <v>207.3</v>
      </c>
      <c r="H13" s="3">
        <v>220.1</v>
      </c>
      <c r="I13" s="3">
        <v>233.7</v>
      </c>
      <c r="J13" s="3">
        <v>257.60000000000002</v>
      </c>
      <c r="K13" s="3">
        <v>298.7</v>
      </c>
      <c r="L13" s="3">
        <v>308.10000000000002</v>
      </c>
      <c r="M13" s="3">
        <v>321</v>
      </c>
      <c r="N13" s="3">
        <v>327.39999999999998</v>
      </c>
      <c r="O13" s="3">
        <v>365.4</v>
      </c>
      <c r="P13" s="3">
        <v>396.6</v>
      </c>
      <c r="Q13" s="3">
        <v>422</v>
      </c>
      <c r="R13" s="3">
        <v>459.2</v>
      </c>
      <c r="S13" s="3">
        <v>506.4</v>
      </c>
      <c r="T13" s="3">
        <v>551.6</v>
      </c>
      <c r="U13" s="3">
        <v>611.70000000000005</v>
      </c>
      <c r="V13" s="3">
        <v>668.3</v>
      </c>
      <c r="W13" s="3">
        <v>722.4</v>
      </c>
      <c r="X13" s="3">
        <v>798.9</v>
      </c>
      <c r="Y13" s="3">
        <v>849.8</v>
      </c>
      <c r="Z13" s="3">
        <v>860.4</v>
      </c>
      <c r="AA13" s="3">
        <v>910.5</v>
      </c>
      <c r="AB13" s="3">
        <v>931.2</v>
      </c>
      <c r="AC13" s="3">
        <v>1016.6</v>
      </c>
      <c r="AD13" s="3">
        <v>953.9</v>
      </c>
      <c r="AE13" s="3">
        <v>920.8</v>
      </c>
      <c r="AF13" s="3">
        <v>910.5</v>
      </c>
      <c r="AG13" s="3">
        <v>1069.8</v>
      </c>
      <c r="AH13" s="3">
        <v>1164.4000000000001</v>
      </c>
      <c r="AI13" s="3">
        <v>1238.9000000000001</v>
      </c>
      <c r="AJ13" s="3">
        <v>1264.2</v>
      </c>
      <c r="AK13" s="3">
        <v>1301.5</v>
      </c>
      <c r="AL13" s="3">
        <v>1292.3</v>
      </c>
      <c r="AM13" s="3">
        <v>1313.2</v>
      </c>
      <c r="AN13" s="3">
        <v>1387.6</v>
      </c>
      <c r="AO13" s="3">
        <v>1463.2</v>
      </c>
      <c r="AP13" s="3">
        <v>1522</v>
      </c>
      <c r="AQ13" s="3">
        <v>1548.5</v>
      </c>
      <c r="AR13" s="3">
        <v>1744.2</v>
      </c>
    </row>
    <row r="14" spans="1:44" x14ac:dyDescent="0.3">
      <c r="A14" s="3" t="s">
        <v>72</v>
      </c>
      <c r="B14" s="3" t="s">
        <v>114</v>
      </c>
      <c r="C14" s="3">
        <v>19</v>
      </c>
      <c r="D14" s="3">
        <v>23.8</v>
      </c>
      <c r="E14" s="3">
        <v>23.8</v>
      </c>
      <c r="F14" s="3">
        <v>24.4</v>
      </c>
      <c r="G14" s="3">
        <v>24.7</v>
      </c>
      <c r="H14" s="3">
        <v>26.2</v>
      </c>
      <c r="I14" s="3">
        <v>18.3</v>
      </c>
      <c r="J14" s="3">
        <v>16.600000000000001</v>
      </c>
      <c r="K14" s="3">
        <v>22.5</v>
      </c>
      <c r="L14" s="3">
        <v>21.5</v>
      </c>
      <c r="M14" s="3">
        <v>28.2</v>
      </c>
      <c r="N14" s="3">
        <v>38.6</v>
      </c>
      <c r="O14" s="3">
        <v>60.6</v>
      </c>
      <c r="P14" s="3">
        <v>90.1</v>
      </c>
      <c r="Q14" s="3">
        <v>113.7</v>
      </c>
      <c r="R14" s="3">
        <v>124.9</v>
      </c>
      <c r="S14" s="3">
        <v>142.5</v>
      </c>
      <c r="T14" s="3">
        <v>147.1</v>
      </c>
      <c r="U14" s="3">
        <v>165.2</v>
      </c>
      <c r="V14" s="3">
        <v>178.5</v>
      </c>
      <c r="W14" s="3">
        <v>183.5</v>
      </c>
      <c r="X14" s="3">
        <v>202.4</v>
      </c>
      <c r="Y14" s="3">
        <v>208.4</v>
      </c>
      <c r="Z14" s="3">
        <v>227.1</v>
      </c>
      <c r="AA14" s="3">
        <v>242.8</v>
      </c>
      <c r="AB14" s="3">
        <v>221.1</v>
      </c>
      <c r="AC14" s="3">
        <v>181.1</v>
      </c>
      <c r="AD14" s="3">
        <v>186.3</v>
      </c>
      <c r="AE14" s="3">
        <v>290.3</v>
      </c>
      <c r="AF14" s="3">
        <v>347.6</v>
      </c>
      <c r="AG14" s="3">
        <v>433.7</v>
      </c>
      <c r="AH14" s="3">
        <v>506.5</v>
      </c>
      <c r="AI14" s="3">
        <v>534.5</v>
      </c>
      <c r="AJ14" s="3">
        <v>578.70000000000005</v>
      </c>
      <c r="AK14" s="3">
        <v>598.5</v>
      </c>
      <c r="AL14" s="3">
        <v>601.4</v>
      </c>
      <c r="AM14" s="3">
        <v>618.70000000000005</v>
      </c>
      <c r="AN14" s="3">
        <v>642</v>
      </c>
      <c r="AO14" s="3">
        <v>671.5</v>
      </c>
      <c r="AP14" s="3">
        <v>688.4</v>
      </c>
      <c r="AQ14" s="3">
        <v>743.4</v>
      </c>
      <c r="AR14" s="3">
        <v>776.7</v>
      </c>
    </row>
    <row r="15" spans="1:44" x14ac:dyDescent="0.3">
      <c r="A15" s="3" t="s">
        <v>74</v>
      </c>
      <c r="B15" s="3" t="s">
        <v>115</v>
      </c>
      <c r="C15" s="3">
        <v>397.7</v>
      </c>
      <c r="D15" s="3">
        <v>483.9</v>
      </c>
      <c r="E15" s="3">
        <v>554.9</v>
      </c>
      <c r="F15" s="3">
        <v>600.20000000000005</v>
      </c>
      <c r="G15" s="3">
        <v>676.7</v>
      </c>
      <c r="H15" s="3">
        <v>724.3</v>
      </c>
      <c r="I15" s="3">
        <v>766.3</v>
      </c>
      <c r="J15" s="3">
        <v>776.3</v>
      </c>
      <c r="K15" s="3">
        <v>848</v>
      </c>
      <c r="L15" s="3">
        <v>959.7</v>
      </c>
      <c r="M15" s="3">
        <v>1004.8</v>
      </c>
      <c r="N15" s="3">
        <v>1008.7</v>
      </c>
      <c r="O15" s="3">
        <v>995.4</v>
      </c>
      <c r="P15" s="3">
        <v>1001.9</v>
      </c>
      <c r="Q15" s="3">
        <v>1043.5999999999999</v>
      </c>
      <c r="R15" s="3">
        <v>1128.5</v>
      </c>
      <c r="S15" s="3">
        <v>1188.8</v>
      </c>
      <c r="T15" s="3">
        <v>1266.5</v>
      </c>
      <c r="U15" s="3">
        <v>1352.5</v>
      </c>
      <c r="V15" s="3">
        <v>1336.2</v>
      </c>
      <c r="W15" s="3">
        <v>1455.6</v>
      </c>
      <c r="X15" s="3">
        <v>1461.9</v>
      </c>
      <c r="Y15" s="3">
        <v>1402.6</v>
      </c>
      <c r="Z15" s="3">
        <v>1435.6</v>
      </c>
      <c r="AA15" s="3">
        <v>1498.7</v>
      </c>
      <c r="AB15" s="3">
        <v>1636.4</v>
      </c>
      <c r="AC15" s="3">
        <v>1899</v>
      </c>
      <c r="AD15" s="3">
        <v>2105.3000000000002</v>
      </c>
      <c r="AE15" s="3">
        <v>2151.5</v>
      </c>
      <c r="AF15" s="3">
        <v>1838.5</v>
      </c>
      <c r="AG15" s="3">
        <v>1747.7</v>
      </c>
      <c r="AH15" s="3">
        <v>1906.5</v>
      </c>
      <c r="AI15" s="3">
        <v>2103.6</v>
      </c>
      <c r="AJ15" s="3">
        <v>1983.2</v>
      </c>
      <c r="AK15" s="3">
        <v>2177.4</v>
      </c>
      <c r="AL15" s="3">
        <v>2344.6</v>
      </c>
      <c r="AM15" s="3">
        <v>2415.4</v>
      </c>
      <c r="AN15" s="3">
        <v>2611</v>
      </c>
      <c r="AO15" s="3">
        <v>2789.4</v>
      </c>
      <c r="AP15" s="3">
        <v>2950</v>
      </c>
      <c r="AQ15" s="3">
        <v>2905</v>
      </c>
      <c r="AR15" s="3">
        <v>3244.3</v>
      </c>
    </row>
    <row r="16" spans="1:44" x14ac:dyDescent="0.3">
      <c r="A16" s="3" t="s">
        <v>76</v>
      </c>
      <c r="B16" s="3" t="s">
        <v>116</v>
      </c>
      <c r="C16" s="3">
        <v>333.5</v>
      </c>
      <c r="D16" s="3">
        <v>414.2</v>
      </c>
      <c r="E16" s="3">
        <v>481.8</v>
      </c>
      <c r="F16" s="3">
        <v>518.20000000000005</v>
      </c>
      <c r="G16" s="3">
        <v>590.9</v>
      </c>
      <c r="H16" s="3">
        <v>630.5</v>
      </c>
      <c r="I16" s="3">
        <v>663.1</v>
      </c>
      <c r="J16" s="3">
        <v>674.3</v>
      </c>
      <c r="K16" s="3">
        <v>720.1</v>
      </c>
      <c r="L16" s="3">
        <v>802.3</v>
      </c>
      <c r="M16" s="3">
        <v>835.1</v>
      </c>
      <c r="N16" s="3">
        <v>827.7</v>
      </c>
      <c r="O16" s="3">
        <v>806.2</v>
      </c>
      <c r="P16" s="3">
        <v>796.8</v>
      </c>
      <c r="Q16" s="3">
        <v>806.3</v>
      </c>
      <c r="R16" s="3">
        <v>869.4</v>
      </c>
      <c r="S16" s="3">
        <v>886.4</v>
      </c>
      <c r="T16" s="3">
        <v>928.8</v>
      </c>
      <c r="U16" s="3">
        <v>994</v>
      </c>
      <c r="V16" s="3">
        <v>987.7</v>
      </c>
      <c r="W16" s="3">
        <v>1069.3</v>
      </c>
      <c r="X16" s="3">
        <v>1087.5</v>
      </c>
      <c r="Y16" s="3">
        <v>1001.2</v>
      </c>
      <c r="Z16" s="3">
        <v>1004.4</v>
      </c>
      <c r="AA16" s="3">
        <v>939.3</v>
      </c>
      <c r="AB16" s="3">
        <v>1081.3</v>
      </c>
      <c r="AC16" s="3">
        <v>1215.4000000000001</v>
      </c>
      <c r="AD16" s="3">
        <v>1325.2</v>
      </c>
      <c r="AE16" s="3">
        <v>1345.8</v>
      </c>
      <c r="AF16" s="3">
        <v>1272.8</v>
      </c>
      <c r="AG16" s="3">
        <v>1211.0999999999999</v>
      </c>
      <c r="AH16" s="3">
        <v>1216.0999999999999</v>
      </c>
      <c r="AI16" s="3">
        <v>1271.8</v>
      </c>
      <c r="AJ16" s="3">
        <v>1201.5999999999999</v>
      </c>
      <c r="AK16" s="3">
        <v>1260.4000000000001</v>
      </c>
      <c r="AL16" s="3">
        <v>1347.7</v>
      </c>
      <c r="AM16" s="3">
        <v>1388</v>
      </c>
      <c r="AN16" s="3">
        <v>1466.7</v>
      </c>
      <c r="AO16" s="3">
        <v>1554.5</v>
      </c>
      <c r="AP16" s="3">
        <v>1603.5</v>
      </c>
      <c r="AQ16" s="3">
        <v>1505.9</v>
      </c>
      <c r="AR16" s="3">
        <v>1472.8</v>
      </c>
    </row>
    <row r="17" spans="1:44" x14ac:dyDescent="0.3">
      <c r="A17" s="3" t="s">
        <v>78</v>
      </c>
      <c r="B17" s="3" t="s">
        <v>117</v>
      </c>
      <c r="C17" s="3">
        <v>64.2</v>
      </c>
      <c r="D17" s="3">
        <v>69.7</v>
      </c>
      <c r="E17" s="3">
        <v>73.099999999999994</v>
      </c>
      <c r="F17" s="3">
        <v>82</v>
      </c>
      <c r="G17" s="3">
        <v>85.8</v>
      </c>
      <c r="H17" s="3">
        <v>93.8</v>
      </c>
      <c r="I17" s="3">
        <v>103.1</v>
      </c>
      <c r="J17" s="3">
        <v>102</v>
      </c>
      <c r="K17" s="3">
        <v>128</v>
      </c>
      <c r="L17" s="3">
        <v>157.5</v>
      </c>
      <c r="M17" s="3">
        <v>169.7</v>
      </c>
      <c r="N17" s="3">
        <v>181</v>
      </c>
      <c r="O17" s="3">
        <v>189.3</v>
      </c>
      <c r="P17" s="3">
        <v>205.1</v>
      </c>
      <c r="Q17" s="3">
        <v>237.3</v>
      </c>
      <c r="R17" s="3">
        <v>259.2</v>
      </c>
      <c r="S17" s="3">
        <v>302.39999999999998</v>
      </c>
      <c r="T17" s="3">
        <v>337.8</v>
      </c>
      <c r="U17" s="3">
        <v>358.4</v>
      </c>
      <c r="V17" s="3">
        <v>348.5</v>
      </c>
      <c r="W17" s="3">
        <v>386.4</v>
      </c>
      <c r="X17" s="3">
        <v>374.4</v>
      </c>
      <c r="Y17" s="3">
        <v>401.5</v>
      </c>
      <c r="Z17" s="3">
        <v>431.2</v>
      </c>
      <c r="AA17" s="3">
        <v>559.4</v>
      </c>
      <c r="AB17" s="3">
        <v>555</v>
      </c>
      <c r="AC17" s="3">
        <v>683.6</v>
      </c>
      <c r="AD17" s="3">
        <v>780.1</v>
      </c>
      <c r="AE17" s="3">
        <v>805.7</v>
      </c>
      <c r="AF17" s="3">
        <v>565.6</v>
      </c>
      <c r="AG17" s="3">
        <v>536.6</v>
      </c>
      <c r="AH17" s="3">
        <v>690.4</v>
      </c>
      <c r="AI17" s="3">
        <v>831.7</v>
      </c>
      <c r="AJ17" s="3">
        <v>781.6</v>
      </c>
      <c r="AK17" s="3">
        <v>917</v>
      </c>
      <c r="AL17" s="3">
        <v>996.9</v>
      </c>
      <c r="AM17" s="3">
        <v>1027.4000000000001</v>
      </c>
      <c r="AN17" s="3">
        <v>1144.3</v>
      </c>
      <c r="AO17" s="3">
        <v>1234.9000000000001</v>
      </c>
      <c r="AP17" s="3">
        <v>1346.5</v>
      </c>
      <c r="AQ17" s="3">
        <v>1399.1</v>
      </c>
      <c r="AR17" s="3">
        <v>1771.4</v>
      </c>
    </row>
    <row r="18" spans="1:44" x14ac:dyDescent="0.3">
      <c r="A18" s="3" t="s">
        <v>80</v>
      </c>
      <c r="B18" s="3" t="s">
        <v>118</v>
      </c>
      <c r="C18" s="3">
        <v>280.10000000000002</v>
      </c>
      <c r="D18" s="3">
        <v>319</v>
      </c>
      <c r="E18" s="3">
        <v>355.5</v>
      </c>
      <c r="F18" s="3">
        <v>384.3</v>
      </c>
      <c r="G18" s="3">
        <v>400.6</v>
      </c>
      <c r="H18" s="3">
        <v>425.4</v>
      </c>
      <c r="I18" s="3">
        <v>451.6</v>
      </c>
      <c r="J18" s="3">
        <v>468.1</v>
      </c>
      <c r="K18" s="3">
        <v>497.5</v>
      </c>
      <c r="L18" s="3">
        <v>544.20000000000005</v>
      </c>
      <c r="M18" s="3">
        <v>596.9</v>
      </c>
      <c r="N18" s="3">
        <v>668.1</v>
      </c>
      <c r="O18" s="3">
        <v>748</v>
      </c>
      <c r="P18" s="3">
        <v>793</v>
      </c>
      <c r="Q18" s="3">
        <v>829</v>
      </c>
      <c r="R18" s="3">
        <v>883.5</v>
      </c>
      <c r="S18" s="3">
        <v>929.2</v>
      </c>
      <c r="T18" s="3">
        <v>954.9</v>
      </c>
      <c r="U18" s="3">
        <v>983.9</v>
      </c>
      <c r="V18" s="3">
        <v>1026.2</v>
      </c>
      <c r="W18" s="3">
        <v>1087.3</v>
      </c>
      <c r="X18" s="3">
        <v>1192.5999999999999</v>
      </c>
      <c r="Y18" s="3">
        <v>1285.2</v>
      </c>
      <c r="Z18" s="3">
        <v>1347.3</v>
      </c>
      <c r="AA18" s="3">
        <v>1421.2</v>
      </c>
      <c r="AB18" s="3">
        <v>1516.7</v>
      </c>
      <c r="AC18" s="3">
        <v>1613.8</v>
      </c>
      <c r="AD18" s="3">
        <v>1728.1</v>
      </c>
      <c r="AE18" s="3">
        <v>1955.1</v>
      </c>
      <c r="AF18" s="3">
        <v>2146.6999999999998</v>
      </c>
      <c r="AG18" s="3">
        <v>2325.1999999999998</v>
      </c>
      <c r="AH18" s="3">
        <v>2358.6999999999998</v>
      </c>
      <c r="AI18" s="3">
        <v>2363</v>
      </c>
      <c r="AJ18" s="3">
        <v>2424.3000000000002</v>
      </c>
      <c r="AK18" s="3">
        <v>2541.6</v>
      </c>
      <c r="AL18" s="3">
        <v>2685.4</v>
      </c>
      <c r="AM18" s="3">
        <v>2777</v>
      </c>
      <c r="AN18" s="3">
        <v>2855.7</v>
      </c>
      <c r="AO18" s="3">
        <v>2976.3</v>
      </c>
      <c r="AP18" s="3">
        <v>3147.1</v>
      </c>
      <c r="AQ18" s="3">
        <v>4235.2</v>
      </c>
      <c r="AR18" s="3">
        <v>4660.2</v>
      </c>
    </row>
    <row r="19" spans="1:44" x14ac:dyDescent="0.3">
      <c r="A19" s="3" t="s">
        <v>82</v>
      </c>
      <c r="B19" s="3" t="s">
        <v>119</v>
      </c>
      <c r="C19" s="3">
        <v>271.5</v>
      </c>
      <c r="D19" s="3">
        <v>307.8</v>
      </c>
      <c r="E19" s="3">
        <v>343.1</v>
      </c>
      <c r="F19" s="3">
        <v>370.5</v>
      </c>
      <c r="G19" s="3">
        <v>380.9</v>
      </c>
      <c r="H19" s="3">
        <v>403.1</v>
      </c>
      <c r="I19" s="3">
        <v>428.6</v>
      </c>
      <c r="J19" s="3">
        <v>447.9</v>
      </c>
      <c r="K19" s="3">
        <v>476.9</v>
      </c>
      <c r="L19" s="3">
        <v>521.1</v>
      </c>
      <c r="M19" s="3">
        <v>574.70000000000005</v>
      </c>
      <c r="N19" s="3">
        <v>650.5</v>
      </c>
      <c r="O19" s="3">
        <v>731.8</v>
      </c>
      <c r="P19" s="3">
        <v>778.9</v>
      </c>
      <c r="Q19" s="3">
        <v>815.7</v>
      </c>
      <c r="R19" s="3">
        <v>864.7</v>
      </c>
      <c r="S19" s="3">
        <v>906.3</v>
      </c>
      <c r="T19" s="3">
        <v>935.4</v>
      </c>
      <c r="U19" s="3">
        <v>957.9</v>
      </c>
      <c r="V19" s="3">
        <v>992.2</v>
      </c>
      <c r="W19" s="3">
        <v>1044.9000000000001</v>
      </c>
      <c r="X19" s="3">
        <v>1145.8</v>
      </c>
      <c r="Y19" s="3">
        <v>1251</v>
      </c>
      <c r="Z19" s="3">
        <v>1321</v>
      </c>
      <c r="AA19" s="3">
        <v>1404.5</v>
      </c>
      <c r="AB19" s="3">
        <v>1490.9</v>
      </c>
      <c r="AC19" s="3">
        <v>1593</v>
      </c>
      <c r="AD19" s="3">
        <v>1697.3</v>
      </c>
      <c r="AE19" s="3">
        <v>1919.3</v>
      </c>
      <c r="AF19" s="3">
        <v>2107.6999999999998</v>
      </c>
      <c r="AG19" s="3">
        <v>2281.4</v>
      </c>
      <c r="AH19" s="3">
        <v>2310.1</v>
      </c>
      <c r="AI19" s="3">
        <v>2322.6</v>
      </c>
      <c r="AJ19" s="3">
        <v>2385.9</v>
      </c>
      <c r="AK19" s="3">
        <v>2498.6</v>
      </c>
      <c r="AL19" s="3">
        <v>2635.1</v>
      </c>
      <c r="AM19" s="3">
        <v>2717.3</v>
      </c>
      <c r="AN19" s="3">
        <v>2807.4</v>
      </c>
      <c r="AO19" s="3">
        <v>2926</v>
      </c>
      <c r="AP19" s="3">
        <v>3090.8</v>
      </c>
      <c r="AQ19" s="3">
        <v>4187.5</v>
      </c>
      <c r="AR19" s="3">
        <v>4566.7</v>
      </c>
    </row>
    <row r="20" spans="1:44" x14ac:dyDescent="0.3">
      <c r="A20" s="3" t="s">
        <v>84</v>
      </c>
      <c r="B20" s="3" t="s">
        <v>120</v>
      </c>
      <c r="C20" s="3">
        <v>118.6</v>
      </c>
      <c r="D20" s="3">
        <v>138.6</v>
      </c>
      <c r="E20" s="3">
        <v>153.69999999999999</v>
      </c>
      <c r="F20" s="3">
        <v>164.4</v>
      </c>
      <c r="G20" s="3">
        <v>173</v>
      </c>
      <c r="H20" s="3">
        <v>183.3</v>
      </c>
      <c r="I20" s="3">
        <v>193.6</v>
      </c>
      <c r="J20" s="3">
        <v>201</v>
      </c>
      <c r="K20" s="3">
        <v>213.9</v>
      </c>
      <c r="L20" s="3">
        <v>227.4</v>
      </c>
      <c r="M20" s="3">
        <v>244.1</v>
      </c>
      <c r="N20" s="3">
        <v>264.2</v>
      </c>
      <c r="O20" s="3">
        <v>281.8</v>
      </c>
      <c r="P20" s="3">
        <v>297.89999999999998</v>
      </c>
      <c r="Q20" s="3">
        <v>312.2</v>
      </c>
      <c r="R20" s="3">
        <v>327.7</v>
      </c>
      <c r="S20" s="3">
        <v>342</v>
      </c>
      <c r="T20" s="3">
        <v>356.6</v>
      </c>
      <c r="U20" s="3">
        <v>369.2</v>
      </c>
      <c r="V20" s="3">
        <v>379.9</v>
      </c>
      <c r="W20" s="3">
        <v>401.4</v>
      </c>
      <c r="X20" s="3">
        <v>425.1</v>
      </c>
      <c r="Y20" s="3">
        <v>446.9</v>
      </c>
      <c r="Z20" s="3">
        <v>463.5</v>
      </c>
      <c r="AA20" s="3">
        <v>485.5</v>
      </c>
      <c r="AB20" s="3">
        <v>512.70000000000005</v>
      </c>
      <c r="AC20" s="3">
        <v>544.1</v>
      </c>
      <c r="AD20" s="3">
        <v>575.70000000000005</v>
      </c>
      <c r="AE20" s="3">
        <v>605.5</v>
      </c>
      <c r="AF20" s="3">
        <v>664.5</v>
      </c>
      <c r="AG20" s="3">
        <v>690.2</v>
      </c>
      <c r="AH20" s="3">
        <v>713.3</v>
      </c>
      <c r="AI20" s="3">
        <v>762.1</v>
      </c>
      <c r="AJ20" s="3">
        <v>799</v>
      </c>
      <c r="AK20" s="3">
        <v>834.6</v>
      </c>
      <c r="AL20" s="3">
        <v>871.8</v>
      </c>
      <c r="AM20" s="3">
        <v>896.5</v>
      </c>
      <c r="AN20" s="3">
        <v>926.1</v>
      </c>
      <c r="AO20" s="3">
        <v>972.4</v>
      </c>
      <c r="AP20" s="3">
        <v>1030.7</v>
      </c>
      <c r="AQ20" s="3">
        <v>1077.9000000000001</v>
      </c>
      <c r="AR20" s="3">
        <v>1114.5999999999999</v>
      </c>
    </row>
    <row r="21" spans="1:44" x14ac:dyDescent="0.3">
      <c r="A21" s="3" t="s">
        <v>86</v>
      </c>
      <c r="B21" s="3" t="s">
        <v>121</v>
      </c>
      <c r="C21" s="3">
        <v>36.200000000000003</v>
      </c>
      <c r="D21" s="3">
        <v>43.5</v>
      </c>
      <c r="E21" s="3">
        <v>50.9</v>
      </c>
      <c r="F21" s="3">
        <v>57.8</v>
      </c>
      <c r="G21" s="3">
        <v>64.7</v>
      </c>
      <c r="H21" s="3">
        <v>69.7</v>
      </c>
      <c r="I21" s="3">
        <v>75.3</v>
      </c>
      <c r="J21" s="3">
        <v>81.599999999999994</v>
      </c>
      <c r="K21" s="3">
        <v>86.3</v>
      </c>
      <c r="L21" s="3">
        <v>98.2</v>
      </c>
      <c r="M21" s="3">
        <v>107.6</v>
      </c>
      <c r="N21" s="3">
        <v>117.5</v>
      </c>
      <c r="O21" s="3">
        <v>132.6</v>
      </c>
      <c r="P21" s="3">
        <v>146.80000000000001</v>
      </c>
      <c r="Q21" s="3">
        <v>164.4</v>
      </c>
      <c r="R21" s="3">
        <v>181.2</v>
      </c>
      <c r="S21" s="3">
        <v>194.9</v>
      </c>
      <c r="T21" s="3">
        <v>206.9</v>
      </c>
      <c r="U21" s="3">
        <v>205.6</v>
      </c>
      <c r="V21" s="3">
        <v>208.7</v>
      </c>
      <c r="W21" s="3">
        <v>219.1</v>
      </c>
      <c r="X21" s="3">
        <v>242.6</v>
      </c>
      <c r="Y21" s="3">
        <v>259.7</v>
      </c>
      <c r="Z21" s="3">
        <v>276.7</v>
      </c>
      <c r="AA21" s="3">
        <v>304.39999999999998</v>
      </c>
      <c r="AB21" s="3">
        <v>332.1</v>
      </c>
      <c r="AC21" s="3">
        <v>399.1</v>
      </c>
      <c r="AD21" s="3">
        <v>428.2</v>
      </c>
      <c r="AE21" s="3">
        <v>461.6</v>
      </c>
      <c r="AF21" s="3">
        <v>493</v>
      </c>
      <c r="AG21" s="3">
        <v>513.4</v>
      </c>
      <c r="AH21" s="3">
        <v>535.6</v>
      </c>
      <c r="AI21" s="3">
        <v>554.70000000000005</v>
      </c>
      <c r="AJ21" s="3">
        <v>572.79999999999995</v>
      </c>
      <c r="AK21" s="3">
        <v>600</v>
      </c>
      <c r="AL21" s="3">
        <v>634.9</v>
      </c>
      <c r="AM21" s="3">
        <v>662.1</v>
      </c>
      <c r="AN21" s="3">
        <v>691.8</v>
      </c>
      <c r="AO21" s="3">
        <v>733.6</v>
      </c>
      <c r="AP21" s="3">
        <v>790.5</v>
      </c>
      <c r="AQ21" s="3">
        <v>827.4</v>
      </c>
      <c r="AR21" s="3">
        <v>886.3</v>
      </c>
    </row>
    <row r="22" spans="1:44" x14ac:dyDescent="0.3">
      <c r="A22" s="3" t="s">
        <v>88</v>
      </c>
      <c r="B22" s="3" t="s">
        <v>122</v>
      </c>
      <c r="C22" s="3">
        <v>23.9</v>
      </c>
      <c r="D22" s="3">
        <v>27.7</v>
      </c>
      <c r="E22" s="3">
        <v>30.2</v>
      </c>
      <c r="F22" s="3">
        <v>33.9</v>
      </c>
      <c r="G22" s="3">
        <v>36.6</v>
      </c>
      <c r="H22" s="3">
        <v>39.700000000000003</v>
      </c>
      <c r="I22" s="3">
        <v>43.6</v>
      </c>
      <c r="J22" s="3">
        <v>47.8</v>
      </c>
      <c r="K22" s="3">
        <v>53</v>
      </c>
      <c r="L22" s="3">
        <v>60.8</v>
      </c>
      <c r="M22" s="3">
        <v>73.099999999999994</v>
      </c>
      <c r="N22" s="3">
        <v>96.9</v>
      </c>
      <c r="O22" s="3">
        <v>116.2</v>
      </c>
      <c r="P22" s="3">
        <v>130.1</v>
      </c>
      <c r="Q22" s="3">
        <v>139.4</v>
      </c>
      <c r="R22" s="3">
        <v>149.6</v>
      </c>
      <c r="S22" s="3">
        <v>158.19999999999999</v>
      </c>
      <c r="T22" s="3">
        <v>163.1</v>
      </c>
      <c r="U22" s="3">
        <v>170.2</v>
      </c>
      <c r="V22" s="3">
        <v>184.6</v>
      </c>
      <c r="W22" s="3">
        <v>199.5</v>
      </c>
      <c r="X22" s="3">
        <v>227.3</v>
      </c>
      <c r="Y22" s="3">
        <v>250</v>
      </c>
      <c r="Z22" s="3">
        <v>264.5</v>
      </c>
      <c r="AA22" s="3">
        <v>289.8</v>
      </c>
      <c r="AB22" s="3">
        <v>304.39999999999998</v>
      </c>
      <c r="AC22" s="3">
        <v>299.10000000000002</v>
      </c>
      <c r="AD22" s="3">
        <v>324.2</v>
      </c>
      <c r="AE22" s="3">
        <v>338.3</v>
      </c>
      <c r="AF22" s="3">
        <v>369.6</v>
      </c>
      <c r="AG22" s="3">
        <v>396.9</v>
      </c>
      <c r="AH22" s="3">
        <v>406</v>
      </c>
      <c r="AI22" s="3">
        <v>417.5</v>
      </c>
      <c r="AJ22" s="3">
        <v>440</v>
      </c>
      <c r="AK22" s="3">
        <v>490.9</v>
      </c>
      <c r="AL22" s="3">
        <v>535.9</v>
      </c>
      <c r="AM22" s="3">
        <v>562.79999999999995</v>
      </c>
      <c r="AN22" s="3">
        <v>573.70000000000005</v>
      </c>
      <c r="AO22" s="3">
        <v>589.79999999999995</v>
      </c>
      <c r="AP22" s="3">
        <v>614</v>
      </c>
      <c r="AQ22" s="3">
        <v>657.6</v>
      </c>
      <c r="AR22" s="3">
        <v>736.5</v>
      </c>
    </row>
    <row r="23" spans="1:44" x14ac:dyDescent="0.3">
      <c r="A23" s="3" t="s">
        <v>89</v>
      </c>
      <c r="B23" s="3" t="s">
        <v>123</v>
      </c>
      <c r="C23" s="3">
        <v>16.100000000000001</v>
      </c>
      <c r="D23" s="3">
        <v>15.9</v>
      </c>
      <c r="E23" s="3">
        <v>25.2</v>
      </c>
      <c r="F23" s="3">
        <v>26.4</v>
      </c>
      <c r="G23" s="3">
        <v>16</v>
      </c>
      <c r="H23" s="3">
        <v>15.9</v>
      </c>
      <c r="I23" s="3">
        <v>16.5</v>
      </c>
      <c r="J23" s="3">
        <v>14.6</v>
      </c>
      <c r="K23" s="3">
        <v>13.3</v>
      </c>
      <c r="L23" s="3">
        <v>14.4</v>
      </c>
      <c r="M23" s="3">
        <v>18.2</v>
      </c>
      <c r="N23" s="3">
        <v>26.8</v>
      </c>
      <c r="O23" s="3">
        <v>39.6</v>
      </c>
      <c r="P23" s="3">
        <v>34.799999999999997</v>
      </c>
      <c r="Q23" s="3">
        <v>23.9</v>
      </c>
      <c r="R23" s="3">
        <v>21.7</v>
      </c>
      <c r="S23" s="3">
        <v>22.3</v>
      </c>
      <c r="T23" s="3">
        <v>20.100000000000001</v>
      </c>
      <c r="U23" s="3">
        <v>19.7</v>
      </c>
      <c r="V23" s="3">
        <v>20.5</v>
      </c>
      <c r="W23" s="3">
        <v>20.7</v>
      </c>
      <c r="X23" s="3">
        <v>31.9</v>
      </c>
      <c r="Y23" s="3">
        <v>53.5</v>
      </c>
      <c r="Z23" s="3">
        <v>53.2</v>
      </c>
      <c r="AA23" s="3">
        <v>36.4</v>
      </c>
      <c r="AB23" s="3">
        <v>31.8</v>
      </c>
      <c r="AC23" s="3">
        <v>30.4</v>
      </c>
      <c r="AD23" s="3">
        <v>32.700000000000003</v>
      </c>
      <c r="AE23" s="3">
        <v>51.1</v>
      </c>
      <c r="AF23" s="3">
        <v>131.19999999999999</v>
      </c>
      <c r="AG23" s="3">
        <v>138.9</v>
      </c>
      <c r="AH23" s="3">
        <v>107.2</v>
      </c>
      <c r="AI23" s="3">
        <v>83.6</v>
      </c>
      <c r="AJ23" s="3">
        <v>62.5</v>
      </c>
      <c r="AK23" s="3">
        <v>35.5</v>
      </c>
      <c r="AL23" s="3">
        <v>32.5</v>
      </c>
      <c r="AM23" s="3">
        <v>32</v>
      </c>
      <c r="AN23" s="3">
        <v>30.2</v>
      </c>
      <c r="AO23" s="3">
        <v>27.6</v>
      </c>
      <c r="AP23" s="3">
        <v>27.5</v>
      </c>
      <c r="AQ23" s="3">
        <v>528</v>
      </c>
      <c r="AR23" s="3">
        <v>314.89999999999998</v>
      </c>
    </row>
    <row r="24" spans="1:44" x14ac:dyDescent="0.3">
      <c r="A24" s="3" t="s">
        <v>90</v>
      </c>
      <c r="B24" s="3" t="s">
        <v>124</v>
      </c>
      <c r="C24" s="3">
        <v>14.7</v>
      </c>
      <c r="D24" s="3">
        <v>15.8</v>
      </c>
      <c r="E24" s="3">
        <v>16.3</v>
      </c>
      <c r="F24" s="3">
        <v>16.399999999999999</v>
      </c>
      <c r="G24" s="3">
        <v>16.3</v>
      </c>
      <c r="H24" s="3">
        <v>16.600000000000001</v>
      </c>
      <c r="I24" s="3">
        <v>16.600000000000001</v>
      </c>
      <c r="J24" s="3">
        <v>16.5</v>
      </c>
      <c r="K24" s="3">
        <v>16.7</v>
      </c>
      <c r="L24" s="3">
        <v>17.2</v>
      </c>
      <c r="M24" s="3">
        <v>17.7</v>
      </c>
      <c r="N24" s="3">
        <v>18.100000000000001</v>
      </c>
      <c r="O24" s="3">
        <v>18.600000000000001</v>
      </c>
      <c r="P24" s="3">
        <v>19.3</v>
      </c>
      <c r="Q24" s="3">
        <v>19.7</v>
      </c>
      <c r="R24" s="3">
        <v>20.5</v>
      </c>
      <c r="S24" s="3">
        <v>21.4</v>
      </c>
      <c r="T24" s="3">
        <v>22.3</v>
      </c>
      <c r="U24" s="3">
        <v>23.3</v>
      </c>
      <c r="V24" s="3">
        <v>24.1</v>
      </c>
      <c r="W24" s="3">
        <v>25</v>
      </c>
      <c r="X24" s="3">
        <v>26.6</v>
      </c>
      <c r="Y24" s="3">
        <v>29.5</v>
      </c>
      <c r="Z24" s="3">
        <v>31.8</v>
      </c>
      <c r="AA24" s="3">
        <v>34.1</v>
      </c>
      <c r="AB24" s="3">
        <v>36.4</v>
      </c>
      <c r="AC24" s="3">
        <v>38.9</v>
      </c>
      <c r="AD24" s="3">
        <v>41.7</v>
      </c>
      <c r="AE24" s="3">
        <v>45</v>
      </c>
      <c r="AF24" s="3">
        <v>51.5</v>
      </c>
      <c r="AG24" s="3">
        <v>58</v>
      </c>
      <c r="AH24" s="3">
        <v>63.3</v>
      </c>
      <c r="AI24" s="3">
        <v>70.099999999999994</v>
      </c>
      <c r="AJ24" s="3">
        <v>79.099999999999994</v>
      </c>
      <c r="AK24" s="3">
        <v>84.2</v>
      </c>
      <c r="AL24" s="3">
        <v>92.6</v>
      </c>
      <c r="AM24" s="3">
        <v>96.8</v>
      </c>
      <c r="AN24" s="3">
        <v>111.4</v>
      </c>
      <c r="AO24" s="3">
        <v>119.7</v>
      </c>
      <c r="AP24" s="3">
        <v>129.80000000000001</v>
      </c>
      <c r="AQ24" s="3">
        <v>144.9</v>
      </c>
      <c r="AR24" s="3">
        <v>152.6</v>
      </c>
    </row>
    <row r="25" spans="1:44" x14ac:dyDescent="0.3">
      <c r="A25" s="3" t="s">
        <v>92</v>
      </c>
      <c r="B25" s="3" t="s">
        <v>125</v>
      </c>
      <c r="C25" s="3">
        <v>62.1</v>
      </c>
      <c r="D25" s="3">
        <v>66.3</v>
      </c>
      <c r="E25" s="3">
        <v>66.8</v>
      </c>
      <c r="F25" s="3">
        <v>71.5</v>
      </c>
      <c r="G25" s="3">
        <v>74.3</v>
      </c>
      <c r="H25" s="3">
        <v>78</v>
      </c>
      <c r="I25" s="3">
        <v>83</v>
      </c>
      <c r="J25" s="3">
        <v>86.4</v>
      </c>
      <c r="K25" s="3">
        <v>93.6</v>
      </c>
      <c r="L25" s="3">
        <v>103.1</v>
      </c>
      <c r="M25" s="3">
        <v>113.9</v>
      </c>
      <c r="N25" s="3">
        <v>127</v>
      </c>
      <c r="O25" s="3">
        <v>142.9</v>
      </c>
      <c r="P25" s="3">
        <v>150</v>
      </c>
      <c r="Q25" s="3">
        <v>156.1</v>
      </c>
      <c r="R25" s="3">
        <v>164</v>
      </c>
      <c r="S25" s="3">
        <v>167.6</v>
      </c>
      <c r="T25" s="3">
        <v>166.4</v>
      </c>
      <c r="U25" s="3">
        <v>170</v>
      </c>
      <c r="V25" s="3">
        <v>174.4</v>
      </c>
      <c r="W25" s="3">
        <v>179.1</v>
      </c>
      <c r="X25" s="3">
        <v>192.4</v>
      </c>
      <c r="Y25" s="3">
        <v>211.3</v>
      </c>
      <c r="Z25" s="3">
        <v>231.2</v>
      </c>
      <c r="AA25" s="3">
        <v>254.3</v>
      </c>
      <c r="AB25" s="3">
        <v>273.5</v>
      </c>
      <c r="AC25" s="3">
        <v>281.5</v>
      </c>
      <c r="AD25" s="3">
        <v>294.89999999999998</v>
      </c>
      <c r="AE25" s="3">
        <v>417.7</v>
      </c>
      <c r="AF25" s="3">
        <v>398</v>
      </c>
      <c r="AG25" s="3">
        <v>484.2</v>
      </c>
      <c r="AH25" s="3">
        <v>484.8</v>
      </c>
      <c r="AI25" s="3">
        <v>434.4</v>
      </c>
      <c r="AJ25" s="3">
        <v>432.5</v>
      </c>
      <c r="AK25" s="3">
        <v>453.5</v>
      </c>
      <c r="AL25" s="3">
        <v>467.4</v>
      </c>
      <c r="AM25" s="3">
        <v>467.1</v>
      </c>
      <c r="AN25" s="3">
        <v>474.2</v>
      </c>
      <c r="AO25" s="3">
        <v>482.9</v>
      </c>
      <c r="AP25" s="3">
        <v>498.2</v>
      </c>
      <c r="AQ25" s="3">
        <v>951.8</v>
      </c>
      <c r="AR25" s="3">
        <v>1361.8</v>
      </c>
    </row>
    <row r="26" spans="1:44" x14ac:dyDescent="0.3">
      <c r="A26" s="3" t="s">
        <v>94</v>
      </c>
      <c r="B26" s="3" t="s">
        <v>126</v>
      </c>
      <c r="C26" s="3">
        <v>8.6</v>
      </c>
      <c r="D26" s="3">
        <v>11.2</v>
      </c>
      <c r="E26" s="3">
        <v>12.4</v>
      </c>
      <c r="F26" s="3">
        <v>13.8</v>
      </c>
      <c r="G26" s="3">
        <v>19.7</v>
      </c>
      <c r="H26" s="3">
        <v>22.3</v>
      </c>
      <c r="I26" s="3">
        <v>22.9</v>
      </c>
      <c r="J26" s="3">
        <v>20.2</v>
      </c>
      <c r="K26" s="3">
        <v>20.6</v>
      </c>
      <c r="L26" s="3">
        <v>23.2</v>
      </c>
      <c r="M26" s="3">
        <v>22.2</v>
      </c>
      <c r="N26" s="3">
        <v>17.600000000000001</v>
      </c>
      <c r="O26" s="3">
        <v>16.3</v>
      </c>
      <c r="P26" s="3">
        <v>14.1</v>
      </c>
      <c r="Q26" s="3">
        <v>13.3</v>
      </c>
      <c r="R26" s="3">
        <v>18.7</v>
      </c>
      <c r="S26" s="3">
        <v>22.9</v>
      </c>
      <c r="T26" s="3">
        <v>19.399999999999999</v>
      </c>
      <c r="U26" s="3">
        <v>26</v>
      </c>
      <c r="V26" s="3">
        <v>34</v>
      </c>
      <c r="W26" s="3">
        <v>42.4</v>
      </c>
      <c r="X26" s="3">
        <v>46.8</v>
      </c>
      <c r="Y26" s="3">
        <v>34.200000000000003</v>
      </c>
      <c r="Z26" s="3">
        <v>26.3</v>
      </c>
      <c r="AA26" s="3">
        <v>16.8</v>
      </c>
      <c r="AB26" s="3">
        <v>25.8</v>
      </c>
      <c r="AC26" s="3">
        <v>20.8</v>
      </c>
      <c r="AD26" s="3">
        <v>30.8</v>
      </c>
      <c r="AE26" s="3">
        <v>35.799999999999997</v>
      </c>
      <c r="AF26" s="3">
        <v>39</v>
      </c>
      <c r="AG26" s="3">
        <v>43.7</v>
      </c>
      <c r="AH26" s="3">
        <v>48.5</v>
      </c>
      <c r="AI26" s="3">
        <v>40.4</v>
      </c>
      <c r="AJ26" s="3">
        <v>38.4</v>
      </c>
      <c r="AK26" s="3">
        <v>42.9</v>
      </c>
      <c r="AL26" s="3">
        <v>50.3</v>
      </c>
      <c r="AM26" s="3">
        <v>59.7</v>
      </c>
      <c r="AN26" s="3">
        <v>48.3</v>
      </c>
      <c r="AO26" s="3">
        <v>50.3</v>
      </c>
      <c r="AP26" s="3">
        <v>56.3</v>
      </c>
      <c r="AQ26" s="3">
        <v>47.7</v>
      </c>
      <c r="AR26" s="3">
        <v>93.5</v>
      </c>
    </row>
    <row r="27" spans="1:44" x14ac:dyDescent="0.3">
      <c r="A27" s="3" t="s">
        <v>96</v>
      </c>
      <c r="B27" s="3" t="s">
        <v>127</v>
      </c>
      <c r="C27" s="3">
        <v>166.2</v>
      </c>
      <c r="D27" s="3">
        <v>195.7</v>
      </c>
      <c r="E27" s="3">
        <v>208.9</v>
      </c>
      <c r="F27" s="3">
        <v>226</v>
      </c>
      <c r="G27" s="3">
        <v>257.5</v>
      </c>
      <c r="H27" s="3">
        <v>281.39999999999998</v>
      </c>
      <c r="I27" s="3">
        <v>303.39999999999998</v>
      </c>
      <c r="J27" s="3">
        <v>323.10000000000002</v>
      </c>
      <c r="K27" s="3">
        <v>361.5</v>
      </c>
      <c r="L27" s="3">
        <v>385.2</v>
      </c>
      <c r="M27" s="3">
        <v>410.1</v>
      </c>
      <c r="N27" s="3">
        <v>430.2</v>
      </c>
      <c r="O27" s="3">
        <v>455</v>
      </c>
      <c r="P27" s="3">
        <v>477.4</v>
      </c>
      <c r="Q27" s="3">
        <v>508.2</v>
      </c>
      <c r="R27" s="3">
        <v>532.79999999999995</v>
      </c>
      <c r="S27" s="3">
        <v>555.1</v>
      </c>
      <c r="T27" s="3">
        <v>587.20000000000005</v>
      </c>
      <c r="U27" s="3">
        <v>624.70000000000005</v>
      </c>
      <c r="V27" s="3">
        <v>661.3</v>
      </c>
      <c r="W27" s="3">
        <v>705.8</v>
      </c>
      <c r="X27" s="3">
        <v>733.2</v>
      </c>
      <c r="Y27" s="3">
        <v>751.5</v>
      </c>
      <c r="Z27" s="3">
        <v>779.3</v>
      </c>
      <c r="AA27" s="3">
        <v>829.2</v>
      </c>
      <c r="AB27" s="3">
        <v>873.3</v>
      </c>
      <c r="AC27" s="3">
        <v>922.5</v>
      </c>
      <c r="AD27" s="3">
        <v>961.4</v>
      </c>
      <c r="AE27" s="3">
        <v>988.4</v>
      </c>
      <c r="AF27" s="3">
        <v>964.3</v>
      </c>
      <c r="AG27" s="3">
        <v>983.7</v>
      </c>
      <c r="AH27" s="3">
        <v>916.7</v>
      </c>
      <c r="AI27" s="3">
        <v>950.5</v>
      </c>
      <c r="AJ27" s="3">
        <v>1104.3</v>
      </c>
      <c r="AK27" s="3">
        <v>1153.5999999999999</v>
      </c>
      <c r="AL27" s="3">
        <v>1204.7</v>
      </c>
      <c r="AM27" s="3">
        <v>1238.8</v>
      </c>
      <c r="AN27" s="3">
        <v>1298.9000000000001</v>
      </c>
      <c r="AO27" s="3">
        <v>1361.7</v>
      </c>
      <c r="AP27" s="3">
        <v>1424.8</v>
      </c>
      <c r="AQ27" s="3">
        <v>1449.6</v>
      </c>
      <c r="AR27" s="3">
        <v>1559.3</v>
      </c>
    </row>
    <row r="28" spans="1:44" x14ac:dyDescent="0.3">
      <c r="A28" s="3" t="s">
        <v>98</v>
      </c>
      <c r="B28" s="5" t="s">
        <v>128</v>
      </c>
      <c r="C28" s="5">
        <v>299.5</v>
      </c>
      <c r="D28" s="5">
        <v>345.8</v>
      </c>
      <c r="E28" s="5">
        <v>354.7</v>
      </c>
      <c r="F28" s="5">
        <v>352.9</v>
      </c>
      <c r="G28" s="5">
        <v>377.9</v>
      </c>
      <c r="H28" s="5">
        <v>417.8</v>
      </c>
      <c r="I28" s="5">
        <v>437.8</v>
      </c>
      <c r="J28" s="5">
        <v>489.6</v>
      </c>
      <c r="K28" s="5">
        <v>505.9</v>
      </c>
      <c r="L28" s="5">
        <v>567.70000000000005</v>
      </c>
      <c r="M28" s="5">
        <v>594.70000000000005</v>
      </c>
      <c r="N28" s="5">
        <v>588.9</v>
      </c>
      <c r="O28" s="5">
        <v>612.79999999999995</v>
      </c>
      <c r="P28" s="5">
        <v>648.79999999999995</v>
      </c>
      <c r="Q28" s="5">
        <v>693.1</v>
      </c>
      <c r="R28" s="5">
        <v>748.4</v>
      </c>
      <c r="S28" s="5">
        <v>837.1</v>
      </c>
      <c r="T28" s="5">
        <v>931.8</v>
      </c>
      <c r="U28" s="5">
        <v>1032.4000000000001</v>
      </c>
      <c r="V28" s="5">
        <v>1111.9000000000001</v>
      </c>
      <c r="W28" s="5">
        <v>1236.3</v>
      </c>
      <c r="X28" s="5">
        <v>1239</v>
      </c>
      <c r="Y28" s="5">
        <v>1052.2</v>
      </c>
      <c r="Z28" s="5">
        <v>1003.5</v>
      </c>
      <c r="AA28" s="5">
        <v>1048.7</v>
      </c>
      <c r="AB28" s="5">
        <v>1212.5</v>
      </c>
      <c r="AC28" s="5">
        <v>1357</v>
      </c>
      <c r="AD28" s="5">
        <v>1492.5</v>
      </c>
      <c r="AE28" s="5">
        <v>1507.5</v>
      </c>
      <c r="AF28" s="5">
        <v>1152.4000000000001</v>
      </c>
      <c r="AG28" s="5">
        <v>1237.5999999999999</v>
      </c>
      <c r="AH28" s="5">
        <v>1453.7</v>
      </c>
      <c r="AI28" s="5">
        <v>1509.5</v>
      </c>
      <c r="AJ28" s="5">
        <v>1677.5</v>
      </c>
      <c r="AK28" s="5">
        <v>1785.7</v>
      </c>
      <c r="AL28" s="5">
        <v>1940.9</v>
      </c>
      <c r="AM28" s="5">
        <v>1958.8</v>
      </c>
      <c r="AN28" s="5">
        <v>2048.8000000000002</v>
      </c>
      <c r="AO28" s="5">
        <v>2074.1999999999998</v>
      </c>
      <c r="AP28" s="5">
        <v>2198.6999999999998</v>
      </c>
      <c r="AQ28" s="5">
        <v>2248.1999999999998</v>
      </c>
      <c r="AR28" s="5">
        <v>2698</v>
      </c>
    </row>
    <row r="29" spans="1:44" x14ac:dyDescent="0.3">
      <c r="A29" s="3" t="s">
        <v>100</v>
      </c>
      <c r="B29" s="5" t="s">
        <v>129</v>
      </c>
      <c r="C29" s="5">
        <v>2024.9</v>
      </c>
      <c r="D29" s="5">
        <v>2257.4</v>
      </c>
      <c r="E29" s="5">
        <v>2434.6999999999998</v>
      </c>
      <c r="F29" s="5">
        <v>2628.8</v>
      </c>
      <c r="G29" s="5">
        <v>2910.8</v>
      </c>
      <c r="H29" s="5">
        <v>3105.1</v>
      </c>
      <c r="I29" s="5">
        <v>3293.4</v>
      </c>
      <c r="J29" s="5">
        <v>3457.2</v>
      </c>
      <c r="K29" s="5">
        <v>3774.1</v>
      </c>
      <c r="L29" s="5">
        <v>4053.3</v>
      </c>
      <c r="M29" s="5">
        <v>4318.6000000000004</v>
      </c>
      <c r="N29" s="5">
        <v>4501</v>
      </c>
      <c r="O29" s="5">
        <v>4804.7</v>
      </c>
      <c r="P29" s="5">
        <v>5004.1000000000004</v>
      </c>
      <c r="Q29" s="5">
        <v>5247.8</v>
      </c>
      <c r="R29" s="5">
        <v>5535</v>
      </c>
      <c r="S29" s="5">
        <v>5829.1</v>
      </c>
      <c r="T29" s="5">
        <v>6142.2</v>
      </c>
      <c r="U29" s="5">
        <v>6555.9</v>
      </c>
      <c r="V29" s="5">
        <v>6866.7</v>
      </c>
      <c r="W29" s="5">
        <v>7385</v>
      </c>
      <c r="X29" s="5">
        <v>7754.1</v>
      </c>
      <c r="Y29" s="5">
        <v>8097.9</v>
      </c>
      <c r="Z29" s="5">
        <v>8478.2000000000007</v>
      </c>
      <c r="AA29" s="5">
        <v>8967.1</v>
      </c>
      <c r="AB29" s="5">
        <v>9333.6</v>
      </c>
      <c r="AC29" s="5">
        <v>9945</v>
      </c>
      <c r="AD29" s="5">
        <v>10439.6</v>
      </c>
      <c r="AE29" s="5">
        <v>10918.2</v>
      </c>
      <c r="AF29" s="5">
        <v>10913.3</v>
      </c>
      <c r="AG29" s="5">
        <v>11319</v>
      </c>
      <c r="AH29" s="5">
        <v>11855.9</v>
      </c>
      <c r="AI29" s="5">
        <v>12408.3</v>
      </c>
      <c r="AJ29" s="5">
        <v>12391.2</v>
      </c>
      <c r="AK29" s="5">
        <v>12998.4</v>
      </c>
      <c r="AL29" s="5">
        <v>13532.9</v>
      </c>
      <c r="AM29" s="5">
        <v>13928.9</v>
      </c>
      <c r="AN29" s="5">
        <v>14613.9</v>
      </c>
      <c r="AO29" s="5">
        <v>15454</v>
      </c>
      <c r="AP29" s="5">
        <v>16164.5</v>
      </c>
      <c r="AQ29" s="5">
        <v>17383.400000000001</v>
      </c>
      <c r="AR29" s="5">
        <v>18800.900000000001</v>
      </c>
    </row>
    <row r="30" spans="1:44" x14ac:dyDescent="0.3">
      <c r="A30" s="3" t="s">
        <v>130</v>
      </c>
      <c r="B30" s="5" t="s">
        <v>131</v>
      </c>
      <c r="C30" s="5">
        <v>1800.1</v>
      </c>
      <c r="D30" s="5">
        <v>1993.9</v>
      </c>
      <c r="E30" s="5">
        <v>2143.5</v>
      </c>
      <c r="F30" s="5">
        <v>2364.1999999999998</v>
      </c>
      <c r="G30" s="5">
        <v>2584.5</v>
      </c>
      <c r="H30" s="5">
        <v>2822.1</v>
      </c>
      <c r="I30" s="5">
        <v>3004.7</v>
      </c>
      <c r="J30" s="5">
        <v>3196.6</v>
      </c>
      <c r="K30" s="5">
        <v>3457</v>
      </c>
      <c r="L30" s="5">
        <v>3717.9</v>
      </c>
      <c r="M30" s="5">
        <v>3958</v>
      </c>
      <c r="N30" s="5">
        <v>4100</v>
      </c>
      <c r="O30" s="5">
        <v>4354.2</v>
      </c>
      <c r="P30" s="5">
        <v>4611.5</v>
      </c>
      <c r="Q30" s="5">
        <v>4890.6000000000004</v>
      </c>
      <c r="R30" s="5">
        <v>5155.8999999999996</v>
      </c>
      <c r="S30" s="5">
        <v>5459.2</v>
      </c>
      <c r="T30" s="5">
        <v>5770.4</v>
      </c>
      <c r="U30" s="5">
        <v>6131.3</v>
      </c>
      <c r="V30" s="5">
        <v>6550.9</v>
      </c>
      <c r="W30" s="5">
        <v>7068.1</v>
      </c>
      <c r="X30" s="5">
        <v>7390.9</v>
      </c>
      <c r="Y30" s="5">
        <v>7646.3</v>
      </c>
      <c r="Z30" s="5">
        <v>8038.3</v>
      </c>
      <c r="AA30" s="5">
        <v>8550.1</v>
      </c>
      <c r="AB30" s="5">
        <v>9124.5</v>
      </c>
      <c r="AC30" s="5">
        <v>9669.1</v>
      </c>
      <c r="AD30" s="5">
        <v>10176.200000000001</v>
      </c>
      <c r="AE30" s="5">
        <v>10466.700000000001</v>
      </c>
      <c r="AF30" s="5">
        <v>10288.4</v>
      </c>
      <c r="AG30" s="5">
        <v>10647.6</v>
      </c>
      <c r="AH30" s="5">
        <v>11079.6</v>
      </c>
      <c r="AI30" s="5">
        <v>11431.8</v>
      </c>
      <c r="AJ30" s="5">
        <v>11775.5</v>
      </c>
      <c r="AK30" s="5">
        <v>12286.4</v>
      </c>
      <c r="AL30" s="5">
        <v>12742.3</v>
      </c>
      <c r="AM30" s="5">
        <v>13182.7</v>
      </c>
      <c r="AN30" s="5">
        <v>13772.3</v>
      </c>
      <c r="AO30" s="5">
        <v>14457.4</v>
      </c>
      <c r="AP30" s="5">
        <v>14986.3</v>
      </c>
      <c r="AQ30" s="5">
        <v>14721.7</v>
      </c>
      <c r="AR30" s="5">
        <v>16623.7</v>
      </c>
    </row>
    <row r="31" spans="1:44" x14ac:dyDescent="0.3">
      <c r="A31" s="3" t="s">
        <v>132</v>
      </c>
      <c r="B31" s="3" t="s">
        <v>133</v>
      </c>
      <c r="C31" s="3">
        <v>1750.7</v>
      </c>
      <c r="D31" s="3">
        <v>1934</v>
      </c>
      <c r="E31" s="3">
        <v>2071.3000000000002</v>
      </c>
      <c r="F31" s="3">
        <v>2281.6</v>
      </c>
      <c r="G31" s="3">
        <v>2492.3000000000002</v>
      </c>
      <c r="H31" s="3">
        <v>2712.8</v>
      </c>
      <c r="I31" s="3">
        <v>2886.3</v>
      </c>
      <c r="J31" s="3">
        <v>3076.3</v>
      </c>
      <c r="K31" s="3">
        <v>3330</v>
      </c>
      <c r="L31" s="3">
        <v>3576.8</v>
      </c>
      <c r="M31" s="3">
        <v>3809</v>
      </c>
      <c r="N31" s="3">
        <v>3943.4</v>
      </c>
      <c r="O31" s="3">
        <v>4197.6000000000004</v>
      </c>
      <c r="P31" s="3">
        <v>4452</v>
      </c>
      <c r="Q31" s="3">
        <v>4721</v>
      </c>
      <c r="R31" s="3">
        <v>4962.6000000000004</v>
      </c>
      <c r="S31" s="3">
        <v>5244.6</v>
      </c>
      <c r="T31" s="3">
        <v>5536.8</v>
      </c>
      <c r="U31" s="3">
        <v>5877.2</v>
      </c>
      <c r="V31" s="3">
        <v>6283.8</v>
      </c>
      <c r="W31" s="3">
        <v>6767.2</v>
      </c>
      <c r="X31" s="3">
        <v>7073.8</v>
      </c>
      <c r="Y31" s="3">
        <v>7348.9</v>
      </c>
      <c r="Z31" s="3">
        <v>7740.7</v>
      </c>
      <c r="AA31" s="3">
        <v>8232</v>
      </c>
      <c r="AB31" s="3">
        <v>8769.1</v>
      </c>
      <c r="AC31" s="3">
        <v>9277.2000000000007</v>
      </c>
      <c r="AD31" s="3">
        <v>9746.6</v>
      </c>
      <c r="AE31" s="3">
        <v>10050.1</v>
      </c>
      <c r="AF31" s="3">
        <v>9891.2000000000007</v>
      </c>
      <c r="AG31" s="3">
        <v>10260.299999999999</v>
      </c>
      <c r="AH31" s="3">
        <v>10698.9</v>
      </c>
      <c r="AI31" s="3">
        <v>11047.4</v>
      </c>
      <c r="AJ31" s="3">
        <v>11388.2</v>
      </c>
      <c r="AK31" s="3">
        <v>11874.5</v>
      </c>
      <c r="AL31" s="3">
        <v>12297.4</v>
      </c>
      <c r="AM31" s="3">
        <v>12726.8</v>
      </c>
      <c r="AN31" s="3">
        <v>13290.6</v>
      </c>
      <c r="AO31" s="3">
        <v>13934.4</v>
      </c>
      <c r="AP31" s="3">
        <v>14437.5</v>
      </c>
      <c r="AQ31" s="3">
        <v>14231.4</v>
      </c>
      <c r="AR31" s="3">
        <v>16119.7</v>
      </c>
    </row>
    <row r="32" spans="1:44" x14ac:dyDescent="0.3">
      <c r="A32" s="3" t="s">
        <v>134</v>
      </c>
      <c r="B32" s="3" t="s">
        <v>135</v>
      </c>
      <c r="C32" s="3">
        <v>42.5</v>
      </c>
      <c r="D32" s="3">
        <v>48.4</v>
      </c>
      <c r="E32" s="3">
        <v>58.5</v>
      </c>
      <c r="F32" s="3">
        <v>67.400000000000006</v>
      </c>
      <c r="G32" s="3">
        <v>75</v>
      </c>
      <c r="H32" s="3">
        <v>90.6</v>
      </c>
      <c r="I32" s="3">
        <v>97.3</v>
      </c>
      <c r="J32" s="3">
        <v>97.1</v>
      </c>
      <c r="K32" s="3">
        <v>101.3</v>
      </c>
      <c r="L32" s="3">
        <v>113.1</v>
      </c>
      <c r="M32" s="3">
        <v>118.4</v>
      </c>
      <c r="N32" s="3">
        <v>119.9</v>
      </c>
      <c r="O32" s="3">
        <v>116.1</v>
      </c>
      <c r="P32" s="3">
        <v>113.9</v>
      </c>
      <c r="Q32" s="3">
        <v>119.9</v>
      </c>
      <c r="R32" s="3">
        <v>140.4</v>
      </c>
      <c r="S32" s="3">
        <v>157</v>
      </c>
      <c r="T32" s="3">
        <v>169.7</v>
      </c>
      <c r="U32" s="3">
        <v>184.6</v>
      </c>
      <c r="V32" s="3">
        <v>190.8</v>
      </c>
      <c r="W32" s="3">
        <v>217.7</v>
      </c>
      <c r="X32" s="3">
        <v>225.6</v>
      </c>
      <c r="Y32" s="3">
        <v>200.6</v>
      </c>
      <c r="Z32" s="3">
        <v>196.5</v>
      </c>
      <c r="AA32" s="3">
        <v>207.3</v>
      </c>
      <c r="AB32" s="3">
        <v>237.3</v>
      </c>
      <c r="AC32" s="3">
        <v>266.89999999999998</v>
      </c>
      <c r="AD32" s="3">
        <v>291.2</v>
      </c>
      <c r="AE32" s="3">
        <v>272</v>
      </c>
      <c r="AF32" s="3">
        <v>252.8</v>
      </c>
      <c r="AG32" s="3">
        <v>242.3</v>
      </c>
      <c r="AH32" s="3">
        <v>229.9</v>
      </c>
      <c r="AI32" s="3">
        <v>229.6</v>
      </c>
      <c r="AJ32" s="3">
        <v>229.5</v>
      </c>
      <c r="AK32" s="3">
        <v>243.7</v>
      </c>
      <c r="AL32" s="3">
        <v>263.5</v>
      </c>
      <c r="AM32" s="3">
        <v>272.8</v>
      </c>
      <c r="AN32" s="3">
        <v>290.39999999999998</v>
      </c>
      <c r="AO32" s="3">
        <v>321.3</v>
      </c>
      <c r="AP32" s="3">
        <v>341.2</v>
      </c>
      <c r="AQ32" s="3">
        <v>287.7</v>
      </c>
      <c r="AR32" s="3">
        <v>278.5</v>
      </c>
    </row>
    <row r="33" spans="1:45" x14ac:dyDescent="0.3">
      <c r="A33" s="3" t="s">
        <v>136</v>
      </c>
      <c r="B33" s="3" t="s">
        <v>137</v>
      </c>
      <c r="C33" s="3">
        <v>6.9</v>
      </c>
      <c r="D33" s="3">
        <v>11.5</v>
      </c>
      <c r="E33" s="3">
        <v>13.8</v>
      </c>
      <c r="F33" s="3">
        <v>15.1</v>
      </c>
      <c r="G33" s="3">
        <v>17.100000000000001</v>
      </c>
      <c r="H33" s="3">
        <v>18.8</v>
      </c>
      <c r="I33" s="3">
        <v>21.1</v>
      </c>
      <c r="J33" s="3">
        <v>23.2</v>
      </c>
      <c r="K33" s="3">
        <v>25.6</v>
      </c>
      <c r="L33" s="3">
        <v>28</v>
      </c>
      <c r="M33" s="3">
        <v>30.6</v>
      </c>
      <c r="N33" s="3">
        <v>36.700000000000003</v>
      </c>
      <c r="O33" s="3">
        <v>40.5</v>
      </c>
      <c r="P33" s="3">
        <v>45.6</v>
      </c>
      <c r="Q33" s="3">
        <v>49.8</v>
      </c>
      <c r="R33" s="3">
        <v>52.9</v>
      </c>
      <c r="S33" s="3">
        <v>57.6</v>
      </c>
      <c r="T33" s="3">
        <v>63.9</v>
      </c>
      <c r="U33" s="3">
        <v>69.5</v>
      </c>
      <c r="V33" s="3">
        <v>76.3</v>
      </c>
      <c r="W33" s="3">
        <v>83.2</v>
      </c>
      <c r="X33" s="3">
        <v>91.5</v>
      </c>
      <c r="Y33" s="3">
        <v>96.7</v>
      </c>
      <c r="Z33" s="3">
        <v>101.1</v>
      </c>
      <c r="AA33" s="3">
        <v>110.9</v>
      </c>
      <c r="AB33" s="3">
        <v>118.1</v>
      </c>
      <c r="AC33" s="3">
        <v>124.9</v>
      </c>
      <c r="AD33" s="3">
        <v>138.4</v>
      </c>
      <c r="AE33" s="3">
        <v>144.6</v>
      </c>
      <c r="AF33" s="3">
        <v>144.30000000000001</v>
      </c>
      <c r="AG33" s="3">
        <v>145</v>
      </c>
      <c r="AH33" s="3">
        <v>150.80000000000001</v>
      </c>
      <c r="AI33" s="3">
        <v>154.80000000000001</v>
      </c>
      <c r="AJ33" s="3">
        <v>157.80000000000001</v>
      </c>
      <c r="AK33" s="3">
        <v>168.2</v>
      </c>
      <c r="AL33" s="3">
        <v>181.4</v>
      </c>
      <c r="AM33" s="3">
        <v>183.1</v>
      </c>
      <c r="AN33" s="3">
        <v>191.3</v>
      </c>
      <c r="AO33" s="3">
        <v>201.6</v>
      </c>
      <c r="AP33" s="3">
        <v>207.6</v>
      </c>
      <c r="AQ33" s="3">
        <v>202.7</v>
      </c>
      <c r="AR33" s="3">
        <v>225.6</v>
      </c>
    </row>
    <row r="34" spans="1:45" x14ac:dyDescent="0.3">
      <c r="A34" s="3" t="s">
        <v>138</v>
      </c>
      <c r="B34" s="3" t="s">
        <v>139</v>
      </c>
      <c r="C34" s="3">
        <v>5</v>
      </c>
      <c r="D34" s="3">
        <v>6</v>
      </c>
      <c r="E34" s="3">
        <v>7.1</v>
      </c>
      <c r="F34" s="3">
        <v>8.1</v>
      </c>
      <c r="G34" s="3">
        <v>9.1999999999999993</v>
      </c>
      <c r="H34" s="3">
        <v>10.4</v>
      </c>
      <c r="I34" s="3">
        <v>12</v>
      </c>
      <c r="J34" s="3">
        <v>13.2</v>
      </c>
      <c r="K34" s="3">
        <v>14.8</v>
      </c>
      <c r="L34" s="3">
        <v>16.5</v>
      </c>
      <c r="M34" s="3">
        <v>18.399999999999999</v>
      </c>
      <c r="N34" s="3">
        <v>22.6</v>
      </c>
      <c r="O34" s="3">
        <v>26</v>
      </c>
      <c r="P34" s="3">
        <v>28.6</v>
      </c>
      <c r="Q34" s="3">
        <v>30.9</v>
      </c>
      <c r="R34" s="3">
        <v>32.6</v>
      </c>
      <c r="S34" s="3">
        <v>34.9</v>
      </c>
      <c r="T34" s="3">
        <v>38.200000000000003</v>
      </c>
      <c r="U34" s="3">
        <v>39.9</v>
      </c>
      <c r="V34" s="3">
        <v>44.1</v>
      </c>
      <c r="W34" s="3">
        <v>48.8</v>
      </c>
      <c r="X34" s="3">
        <v>52.9</v>
      </c>
      <c r="Y34" s="3">
        <v>56.4</v>
      </c>
      <c r="Z34" s="3">
        <v>60.5</v>
      </c>
      <c r="AA34" s="3">
        <v>66.900000000000006</v>
      </c>
      <c r="AB34" s="3">
        <v>71.599999999999994</v>
      </c>
      <c r="AC34" s="3">
        <v>75.3</v>
      </c>
      <c r="AD34" s="3">
        <v>79.2</v>
      </c>
      <c r="AE34" s="3">
        <v>81</v>
      </c>
      <c r="AF34" s="3">
        <v>80.099999999999994</v>
      </c>
      <c r="AG34" s="3">
        <v>79.400000000000006</v>
      </c>
      <c r="AH34" s="3">
        <v>82.2</v>
      </c>
      <c r="AI34" s="3">
        <v>86.3</v>
      </c>
      <c r="AJ34" s="3">
        <v>87</v>
      </c>
      <c r="AK34" s="3">
        <v>91.9</v>
      </c>
      <c r="AL34" s="3">
        <v>98.8</v>
      </c>
      <c r="AM34" s="3">
        <v>101.6</v>
      </c>
      <c r="AN34" s="3">
        <v>104.6</v>
      </c>
      <c r="AO34" s="3">
        <v>111.3</v>
      </c>
      <c r="AP34" s="3">
        <v>114.6</v>
      </c>
      <c r="AQ34" s="3">
        <v>109.3</v>
      </c>
      <c r="AR34" s="3">
        <v>121.5</v>
      </c>
    </row>
    <row r="35" spans="1:45" x14ac:dyDescent="0.3">
      <c r="A35" s="3" t="s">
        <v>140</v>
      </c>
      <c r="B35" s="3" t="s">
        <v>141</v>
      </c>
      <c r="C35" s="3">
        <v>2</v>
      </c>
      <c r="D35" s="3">
        <v>5.6</v>
      </c>
      <c r="E35" s="3">
        <v>6.7</v>
      </c>
      <c r="F35" s="3">
        <v>7</v>
      </c>
      <c r="G35" s="3">
        <v>7.9</v>
      </c>
      <c r="H35" s="3">
        <v>8.3000000000000007</v>
      </c>
      <c r="I35" s="3">
        <v>9.1</v>
      </c>
      <c r="J35" s="3">
        <v>10</v>
      </c>
      <c r="K35" s="3">
        <v>10.8</v>
      </c>
      <c r="L35" s="3">
        <v>11.6</v>
      </c>
      <c r="M35" s="3">
        <v>12.2</v>
      </c>
      <c r="N35" s="3">
        <v>14.1</v>
      </c>
      <c r="O35" s="3">
        <v>14.5</v>
      </c>
      <c r="P35" s="3">
        <v>17.100000000000001</v>
      </c>
      <c r="Q35" s="3">
        <v>18.899999999999999</v>
      </c>
      <c r="R35" s="3">
        <v>20.3</v>
      </c>
      <c r="S35" s="3">
        <v>22.6</v>
      </c>
      <c r="T35" s="3">
        <v>25.7</v>
      </c>
      <c r="U35" s="3">
        <v>29.7</v>
      </c>
      <c r="V35" s="3">
        <v>32.299999999999997</v>
      </c>
      <c r="W35" s="3">
        <v>34.5</v>
      </c>
      <c r="X35" s="3">
        <v>38.6</v>
      </c>
      <c r="Y35" s="3">
        <v>40.4</v>
      </c>
      <c r="Z35" s="3">
        <v>40.6</v>
      </c>
      <c r="AA35" s="3">
        <v>44</v>
      </c>
      <c r="AB35" s="3">
        <v>46.5</v>
      </c>
      <c r="AC35" s="3">
        <v>49.6</v>
      </c>
      <c r="AD35" s="3">
        <v>59.2</v>
      </c>
      <c r="AE35" s="3">
        <v>63.7</v>
      </c>
      <c r="AF35" s="3">
        <v>64.3</v>
      </c>
      <c r="AG35" s="3">
        <v>65.599999999999994</v>
      </c>
      <c r="AH35" s="3">
        <v>68.599999999999994</v>
      </c>
      <c r="AI35" s="3">
        <v>68.5</v>
      </c>
      <c r="AJ35" s="3">
        <v>70.8</v>
      </c>
      <c r="AK35" s="3">
        <v>76.3</v>
      </c>
      <c r="AL35" s="3">
        <v>82.5</v>
      </c>
      <c r="AM35" s="3">
        <v>81.400000000000006</v>
      </c>
      <c r="AN35" s="3">
        <v>86.7</v>
      </c>
      <c r="AO35" s="3">
        <v>90.3</v>
      </c>
      <c r="AP35" s="3">
        <v>93</v>
      </c>
      <c r="AQ35" s="3">
        <v>93.3</v>
      </c>
      <c r="AR35" s="3">
        <v>104.1</v>
      </c>
    </row>
    <row r="36" spans="1:45" x14ac:dyDescent="0.3">
      <c r="A36" s="3" t="s">
        <v>142</v>
      </c>
      <c r="B36" s="5" t="s">
        <v>143</v>
      </c>
      <c r="C36" s="5">
        <v>224.9</v>
      </c>
      <c r="D36" s="5">
        <v>263.60000000000002</v>
      </c>
      <c r="E36" s="5">
        <v>291.2</v>
      </c>
      <c r="F36" s="5">
        <v>264.7</v>
      </c>
      <c r="G36" s="5">
        <v>326.3</v>
      </c>
      <c r="H36" s="5">
        <v>282.89999999999998</v>
      </c>
      <c r="I36" s="5">
        <v>288.7</v>
      </c>
      <c r="J36" s="5">
        <v>260.60000000000002</v>
      </c>
      <c r="K36" s="5">
        <v>317.10000000000002</v>
      </c>
      <c r="L36" s="5">
        <v>335.4</v>
      </c>
      <c r="M36" s="5">
        <v>360.6</v>
      </c>
      <c r="N36" s="5">
        <v>401</v>
      </c>
      <c r="O36" s="5">
        <v>450.5</v>
      </c>
      <c r="P36" s="5">
        <v>392.6</v>
      </c>
      <c r="Q36" s="5">
        <v>357.2</v>
      </c>
      <c r="R36" s="5">
        <v>379</v>
      </c>
      <c r="S36" s="5">
        <v>369.9</v>
      </c>
      <c r="T36" s="5">
        <v>371.8</v>
      </c>
      <c r="U36" s="5">
        <v>424.6</v>
      </c>
      <c r="V36" s="5">
        <v>315.8</v>
      </c>
      <c r="W36" s="5">
        <v>316.8</v>
      </c>
      <c r="X36" s="5">
        <v>363.2</v>
      </c>
      <c r="Y36" s="5">
        <v>451.6</v>
      </c>
      <c r="Z36" s="5">
        <v>439.9</v>
      </c>
      <c r="AA36" s="5">
        <v>417</v>
      </c>
      <c r="AB36" s="5">
        <v>209.2</v>
      </c>
      <c r="AC36" s="5">
        <v>276</v>
      </c>
      <c r="AD36" s="5">
        <v>263.39999999999998</v>
      </c>
      <c r="AE36" s="5">
        <v>451.5</v>
      </c>
      <c r="AF36" s="5">
        <v>624.9</v>
      </c>
      <c r="AG36" s="5">
        <v>671.4</v>
      </c>
      <c r="AH36" s="5">
        <v>776.3</v>
      </c>
      <c r="AI36" s="5">
        <v>976.5</v>
      </c>
      <c r="AJ36" s="5">
        <v>615.70000000000005</v>
      </c>
      <c r="AK36" s="5">
        <v>712</v>
      </c>
      <c r="AL36" s="5">
        <v>790.6</v>
      </c>
      <c r="AM36" s="5">
        <v>746.2</v>
      </c>
      <c r="AN36" s="5">
        <v>841.6</v>
      </c>
      <c r="AO36" s="5">
        <v>996.7</v>
      </c>
      <c r="AP36" s="5">
        <v>1178.2</v>
      </c>
      <c r="AQ36" s="5">
        <v>2661.8</v>
      </c>
      <c r="AR36" s="5">
        <v>2177.1999999999998</v>
      </c>
    </row>
    <row r="37" spans="1:45" x14ac:dyDescent="0.3">
      <c r="A37" s="3" t="s">
        <v>144</v>
      </c>
      <c r="B37" s="5" t="s">
        <v>145</v>
      </c>
      <c r="C37" s="5">
        <v>11.1</v>
      </c>
      <c r="D37" s="5">
        <v>11.7</v>
      </c>
      <c r="E37" s="5">
        <v>12</v>
      </c>
      <c r="F37" s="5">
        <v>10.1</v>
      </c>
      <c r="G37" s="5">
        <v>11.2</v>
      </c>
      <c r="H37" s="5">
        <v>9.1</v>
      </c>
      <c r="I37" s="5">
        <v>8.8000000000000007</v>
      </c>
      <c r="J37" s="5">
        <v>7.5</v>
      </c>
      <c r="K37" s="5">
        <v>8.4</v>
      </c>
      <c r="L37" s="5">
        <v>8.3000000000000007</v>
      </c>
      <c r="M37" s="5">
        <v>8.4</v>
      </c>
      <c r="N37" s="5">
        <v>8.9</v>
      </c>
      <c r="O37" s="5">
        <v>9.4</v>
      </c>
      <c r="P37" s="5">
        <v>7.8</v>
      </c>
      <c r="Q37" s="5">
        <v>6.8</v>
      </c>
      <c r="R37" s="5">
        <v>6.8</v>
      </c>
      <c r="S37" s="5">
        <v>6.3</v>
      </c>
      <c r="T37" s="5">
        <v>6.1</v>
      </c>
      <c r="U37" s="5">
        <v>6.5</v>
      </c>
      <c r="V37" s="5">
        <v>4.5999999999999996</v>
      </c>
      <c r="W37" s="5">
        <v>4.3</v>
      </c>
      <c r="X37" s="5">
        <v>4.7</v>
      </c>
      <c r="Y37" s="5">
        <v>5.6</v>
      </c>
      <c r="Z37" s="5">
        <v>5.2</v>
      </c>
      <c r="AA37" s="5">
        <v>4.7</v>
      </c>
      <c r="AB37" s="5">
        <v>2.2000000000000002</v>
      </c>
      <c r="AC37" s="5">
        <v>2.8</v>
      </c>
      <c r="AD37" s="5">
        <v>2.5</v>
      </c>
      <c r="AE37" s="5">
        <v>4.0999999999999996</v>
      </c>
      <c r="AF37" s="5">
        <v>5.7</v>
      </c>
      <c r="AG37" s="5">
        <v>5.9</v>
      </c>
      <c r="AH37" s="5">
        <v>6.5</v>
      </c>
      <c r="AI37" s="5">
        <v>7.9</v>
      </c>
      <c r="AJ37" s="5">
        <v>5</v>
      </c>
      <c r="AK37" s="5">
        <v>5.5</v>
      </c>
      <c r="AL37" s="5">
        <v>5.8</v>
      </c>
      <c r="AM37" s="5">
        <v>5.4</v>
      </c>
      <c r="AN37" s="5">
        <v>5.8</v>
      </c>
      <c r="AO37" s="5">
        <v>6.4</v>
      </c>
      <c r="AP37" s="5">
        <v>7.3</v>
      </c>
      <c r="AQ37" s="5">
        <v>15.3</v>
      </c>
      <c r="AR37" s="5">
        <v>11.6</v>
      </c>
    </row>
    <row r="38" spans="1:45" x14ac:dyDescent="0.3">
      <c r="A38" s="3" t="s">
        <v>7</v>
      </c>
      <c r="B38" s="5" t="s">
        <v>146</v>
      </c>
      <c r="C38" s="5" t="s">
        <v>7</v>
      </c>
      <c r="D38" s="5" t="s">
        <v>7</v>
      </c>
      <c r="E38" s="5" t="s">
        <v>7</v>
      </c>
      <c r="F38" s="5" t="s">
        <v>7</v>
      </c>
      <c r="G38" s="5" t="s">
        <v>7</v>
      </c>
      <c r="H38" s="5" t="s">
        <v>7</v>
      </c>
      <c r="I38" s="5" t="s">
        <v>7</v>
      </c>
      <c r="J38" s="5" t="s">
        <v>7</v>
      </c>
      <c r="K38" s="5" t="s">
        <v>7</v>
      </c>
      <c r="L38" s="5" t="s">
        <v>7</v>
      </c>
      <c r="M38" s="5" t="s">
        <v>7</v>
      </c>
      <c r="N38" s="5" t="s">
        <v>7</v>
      </c>
      <c r="O38" s="5" t="s">
        <v>7</v>
      </c>
      <c r="P38" s="5" t="s">
        <v>7</v>
      </c>
      <c r="Q38" s="5" t="s">
        <v>7</v>
      </c>
      <c r="R38" s="5" t="s">
        <v>7</v>
      </c>
      <c r="S38" s="5" t="s">
        <v>7</v>
      </c>
      <c r="T38" s="5" t="s">
        <v>7</v>
      </c>
      <c r="U38" s="5" t="s">
        <v>7</v>
      </c>
      <c r="V38" s="5" t="s">
        <v>7</v>
      </c>
      <c r="W38" s="5" t="s">
        <v>7</v>
      </c>
      <c r="X38" s="5" t="s">
        <v>7</v>
      </c>
      <c r="Y38" s="5" t="s">
        <v>7</v>
      </c>
      <c r="Z38" s="5" t="s">
        <v>7</v>
      </c>
      <c r="AA38" s="5" t="s">
        <v>7</v>
      </c>
      <c r="AB38" s="5" t="s">
        <v>7</v>
      </c>
      <c r="AC38" s="5" t="s">
        <v>7</v>
      </c>
      <c r="AD38" s="5" t="s">
        <v>7</v>
      </c>
      <c r="AE38" s="5" t="s">
        <v>7</v>
      </c>
      <c r="AF38" s="5" t="s">
        <v>7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 t="s">
        <v>7</v>
      </c>
      <c r="AM38" s="5" t="s">
        <v>7</v>
      </c>
      <c r="AN38" s="5" t="s">
        <v>7</v>
      </c>
      <c r="AO38" s="5" t="s">
        <v>7</v>
      </c>
      <c r="AP38" s="5" t="s">
        <v>7</v>
      </c>
      <c r="AQ38" s="5" t="s">
        <v>7</v>
      </c>
      <c r="AR38" s="5" t="s">
        <v>7</v>
      </c>
    </row>
    <row r="39" spans="1:45" x14ac:dyDescent="0.3">
      <c r="A39" s="3" t="s">
        <v>147</v>
      </c>
      <c r="B39" s="5" t="s">
        <v>148</v>
      </c>
      <c r="C39" s="5">
        <v>5251.6</v>
      </c>
      <c r="D39" s="5">
        <v>5385.4</v>
      </c>
      <c r="E39" s="5">
        <v>5436.5</v>
      </c>
      <c r="F39" s="5">
        <v>5564.8</v>
      </c>
      <c r="G39" s="5">
        <v>5962.3</v>
      </c>
      <c r="H39" s="5">
        <v>6179.2</v>
      </c>
      <c r="I39" s="5">
        <v>6403.2</v>
      </c>
      <c r="J39" s="5">
        <v>6588.1</v>
      </c>
      <c r="K39" s="5">
        <v>6894.3</v>
      </c>
      <c r="L39" s="5">
        <v>7119.6</v>
      </c>
      <c r="M39" s="5">
        <v>7221.1</v>
      </c>
      <c r="N39" s="5">
        <v>7158</v>
      </c>
      <c r="O39" s="5">
        <v>7362.7</v>
      </c>
      <c r="P39" s="5">
        <v>7476.7</v>
      </c>
      <c r="Q39" s="5">
        <v>7703.8</v>
      </c>
      <c r="R39" s="5">
        <v>7969.9</v>
      </c>
      <c r="S39" s="5">
        <v>8290.2000000000007</v>
      </c>
      <c r="T39" s="5">
        <v>8691.1</v>
      </c>
      <c r="U39" s="5">
        <v>9306.4</v>
      </c>
      <c r="V39" s="5">
        <v>9656</v>
      </c>
      <c r="W39" s="5">
        <v>10205.6</v>
      </c>
      <c r="X39" s="5">
        <v>10359</v>
      </c>
      <c r="Y39" s="5">
        <v>10309</v>
      </c>
      <c r="Z39" s="5">
        <v>10443.1</v>
      </c>
      <c r="AA39" s="5">
        <v>10766.5</v>
      </c>
      <c r="AB39" s="5">
        <v>10994.3</v>
      </c>
      <c r="AC39" s="5">
        <v>11473.4</v>
      </c>
      <c r="AD39" s="5">
        <v>11782</v>
      </c>
      <c r="AE39" s="5">
        <v>11742.3</v>
      </c>
      <c r="AF39" s="5">
        <v>11154.8</v>
      </c>
      <c r="AG39" s="5">
        <v>11303.8</v>
      </c>
      <c r="AH39" s="5">
        <v>11800.1</v>
      </c>
      <c r="AI39" s="5">
        <v>12222.9</v>
      </c>
      <c r="AJ39" s="5">
        <v>12157.4</v>
      </c>
      <c r="AK39" s="5">
        <v>12605.4</v>
      </c>
      <c r="AL39" s="5">
        <v>13143.3</v>
      </c>
      <c r="AM39" s="5">
        <v>13339.5</v>
      </c>
      <c r="AN39" s="5">
        <v>13807.1</v>
      </c>
      <c r="AO39" s="5">
        <v>14260</v>
      </c>
      <c r="AP39" s="5">
        <v>14700.3</v>
      </c>
      <c r="AQ39" s="5">
        <v>14710</v>
      </c>
      <c r="AR39" s="5">
        <v>15452.3</v>
      </c>
    </row>
    <row r="40" spans="1:45" x14ac:dyDescent="0.3">
      <c r="A40" s="3" t="s">
        <v>7</v>
      </c>
      <c r="B40" s="5" t="s">
        <v>149</v>
      </c>
      <c r="C40" s="5" t="s">
        <v>7</v>
      </c>
      <c r="D40" s="5" t="s">
        <v>7</v>
      </c>
      <c r="E40" s="5" t="s">
        <v>7</v>
      </c>
      <c r="F40" s="5" t="s">
        <v>7</v>
      </c>
      <c r="G40" s="5" t="s">
        <v>7</v>
      </c>
      <c r="H40" s="5" t="s">
        <v>7</v>
      </c>
      <c r="I40" s="5" t="s">
        <v>7</v>
      </c>
      <c r="J40" s="5" t="s">
        <v>7</v>
      </c>
      <c r="K40" s="5" t="s">
        <v>7</v>
      </c>
      <c r="L40" s="5" t="s">
        <v>7</v>
      </c>
      <c r="M40" s="5" t="s">
        <v>7</v>
      </c>
      <c r="N40" s="5" t="s">
        <v>7</v>
      </c>
      <c r="O40" s="5" t="s">
        <v>7</v>
      </c>
      <c r="P40" s="5" t="s">
        <v>7</v>
      </c>
      <c r="Q40" s="5" t="s">
        <v>7</v>
      </c>
      <c r="R40" s="5" t="s">
        <v>7</v>
      </c>
      <c r="S40" s="5" t="s">
        <v>7</v>
      </c>
      <c r="T40" s="5" t="s">
        <v>7</v>
      </c>
      <c r="U40" s="5" t="s">
        <v>7</v>
      </c>
      <c r="V40" s="5" t="s">
        <v>7</v>
      </c>
      <c r="W40" s="5" t="s">
        <v>7</v>
      </c>
      <c r="X40" s="5" t="s">
        <v>7</v>
      </c>
      <c r="Y40" s="5" t="s">
        <v>7</v>
      </c>
      <c r="Z40" s="5" t="s">
        <v>7</v>
      </c>
      <c r="AA40" s="5" t="s">
        <v>7</v>
      </c>
      <c r="AB40" s="5" t="s">
        <v>7</v>
      </c>
      <c r="AC40" s="5" t="s">
        <v>7</v>
      </c>
      <c r="AD40" s="5" t="s">
        <v>7</v>
      </c>
      <c r="AE40" s="5" t="s">
        <v>7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 t="s">
        <v>7</v>
      </c>
      <c r="AM40" s="5" t="s">
        <v>7</v>
      </c>
      <c r="AN40" s="5" t="s">
        <v>7</v>
      </c>
      <c r="AO40" s="5" t="s">
        <v>7</v>
      </c>
      <c r="AP40" s="5" t="s">
        <v>7</v>
      </c>
      <c r="AQ40" s="5" t="s">
        <v>7</v>
      </c>
      <c r="AR40" s="5" t="s">
        <v>7</v>
      </c>
    </row>
    <row r="41" spans="1:45" x14ac:dyDescent="0.3">
      <c r="A41" s="3" t="s">
        <v>150</v>
      </c>
      <c r="B41" s="3" t="s">
        <v>151</v>
      </c>
      <c r="C41" s="3">
        <v>5201.8</v>
      </c>
      <c r="D41" s="3">
        <v>5322.2</v>
      </c>
      <c r="E41" s="3">
        <v>5438.1</v>
      </c>
      <c r="F41" s="3">
        <v>5632.1</v>
      </c>
      <c r="G41" s="3">
        <v>6009.2</v>
      </c>
      <c r="H41" s="3">
        <v>6194.3</v>
      </c>
      <c r="I41" s="3">
        <v>6430</v>
      </c>
      <c r="J41" s="3">
        <v>6547.5</v>
      </c>
      <c r="K41" s="3">
        <v>6878.8</v>
      </c>
      <c r="L41" s="3">
        <v>7078.6</v>
      </c>
      <c r="M41" s="3">
        <v>7224.8</v>
      </c>
      <c r="N41" s="3">
        <v>7286.3</v>
      </c>
      <c r="O41" s="3">
        <v>7575.9</v>
      </c>
      <c r="P41" s="3">
        <v>7698.6</v>
      </c>
      <c r="Q41" s="3">
        <v>7908.6</v>
      </c>
      <c r="R41" s="3">
        <v>8169.2</v>
      </c>
      <c r="S41" s="3">
        <v>8423.2999999999993</v>
      </c>
      <c r="T41" s="3">
        <v>8723.7999999999993</v>
      </c>
      <c r="U41" s="3">
        <v>9238</v>
      </c>
      <c r="V41" s="3">
        <v>9536.9</v>
      </c>
      <c r="W41" s="3">
        <v>10003.700000000001</v>
      </c>
      <c r="X41" s="3">
        <v>10297.299999999999</v>
      </c>
      <c r="Y41" s="3">
        <v>10614.4</v>
      </c>
      <c r="Z41" s="3">
        <v>10884.3</v>
      </c>
      <c r="AA41" s="3">
        <v>11233.2</v>
      </c>
      <c r="AB41" s="3">
        <v>11364.9</v>
      </c>
      <c r="AC41" s="3">
        <v>11777.6</v>
      </c>
      <c r="AD41" s="3">
        <v>12054.1</v>
      </c>
      <c r="AE41" s="3">
        <v>12244.3</v>
      </c>
      <c r="AF41" s="3">
        <v>12273</v>
      </c>
      <c r="AG41" s="3">
        <v>12505.3</v>
      </c>
      <c r="AH41" s="3">
        <v>12775.2</v>
      </c>
      <c r="AI41" s="3">
        <v>13125.7</v>
      </c>
      <c r="AJ41" s="3">
        <v>12937.1</v>
      </c>
      <c r="AK41" s="3">
        <v>13383.7</v>
      </c>
      <c r="AL41" s="3">
        <v>13908.5</v>
      </c>
      <c r="AM41" s="3">
        <v>14172</v>
      </c>
      <c r="AN41" s="3">
        <v>14613.9</v>
      </c>
      <c r="AO41" s="3">
        <v>15144</v>
      </c>
      <c r="AP41" s="3">
        <v>15616.5</v>
      </c>
      <c r="AQ41" s="3">
        <v>16608.400000000001</v>
      </c>
      <c r="AR41" s="3">
        <v>17252.900000000001</v>
      </c>
    </row>
    <row r="42" spans="1:45" x14ac:dyDescent="0.3">
      <c r="A42" s="3" t="s">
        <v>7</v>
      </c>
      <c r="B42" s="3" t="s">
        <v>152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3" t="s">
        <v>7</v>
      </c>
      <c r="I42" s="3" t="s">
        <v>7</v>
      </c>
      <c r="J42" s="3" t="s">
        <v>7</v>
      </c>
      <c r="K42" s="3" t="s">
        <v>7</v>
      </c>
      <c r="L42" s="3" t="s">
        <v>7</v>
      </c>
      <c r="M42" s="3" t="s">
        <v>7</v>
      </c>
      <c r="N42" s="3" t="s">
        <v>7</v>
      </c>
      <c r="O42" s="3" t="s">
        <v>7</v>
      </c>
      <c r="P42" s="3" t="s">
        <v>7</v>
      </c>
      <c r="Q42" s="3" t="s">
        <v>7</v>
      </c>
      <c r="R42" s="3" t="s">
        <v>7</v>
      </c>
      <c r="S42" s="3" t="s">
        <v>7</v>
      </c>
      <c r="T42" s="3" t="s">
        <v>7</v>
      </c>
      <c r="U42" s="3" t="s">
        <v>7</v>
      </c>
      <c r="V42" s="3" t="s">
        <v>7</v>
      </c>
      <c r="W42" s="3" t="s">
        <v>7</v>
      </c>
      <c r="X42" s="3" t="s">
        <v>7</v>
      </c>
      <c r="Y42" s="3" t="s">
        <v>7</v>
      </c>
      <c r="Z42" s="3" t="s">
        <v>7</v>
      </c>
      <c r="AA42" s="3" t="s">
        <v>7</v>
      </c>
      <c r="AB42" s="3" t="s">
        <v>7</v>
      </c>
      <c r="AC42" s="3" t="s">
        <v>7</v>
      </c>
      <c r="AD42" s="3" t="s">
        <v>7</v>
      </c>
      <c r="AE42" s="3" t="s">
        <v>7</v>
      </c>
      <c r="AF42" s="3" t="s">
        <v>7</v>
      </c>
      <c r="AG42" s="3" t="s">
        <v>7</v>
      </c>
      <c r="AH42" s="3" t="s">
        <v>7</v>
      </c>
      <c r="AI42" s="3" t="s">
        <v>7</v>
      </c>
      <c r="AJ42" s="3" t="s">
        <v>7</v>
      </c>
      <c r="AK42" s="3" t="s">
        <v>7</v>
      </c>
      <c r="AL42" s="3" t="s">
        <v>7</v>
      </c>
      <c r="AM42" s="3" t="s">
        <v>7</v>
      </c>
      <c r="AN42" s="3" t="s">
        <v>7</v>
      </c>
      <c r="AO42" s="3" t="s">
        <v>7</v>
      </c>
      <c r="AP42" s="3" t="s">
        <v>7</v>
      </c>
      <c r="AQ42" s="3" t="s">
        <v>7</v>
      </c>
      <c r="AR42" s="3" t="s">
        <v>7</v>
      </c>
    </row>
    <row r="43" spans="1:45" x14ac:dyDescent="0.3">
      <c r="A43" s="3" t="s">
        <v>153</v>
      </c>
      <c r="B43" s="3" t="s">
        <v>154</v>
      </c>
      <c r="C43" s="3">
        <v>8892</v>
      </c>
      <c r="D43" s="3">
        <v>9815</v>
      </c>
      <c r="E43" s="3">
        <v>10485</v>
      </c>
      <c r="F43" s="3">
        <v>11218</v>
      </c>
      <c r="G43" s="3">
        <v>12313</v>
      </c>
      <c r="H43" s="3">
        <v>13019</v>
      </c>
      <c r="I43" s="3">
        <v>13684</v>
      </c>
      <c r="J43" s="3">
        <v>14236</v>
      </c>
      <c r="K43" s="3">
        <v>15401</v>
      </c>
      <c r="L43" s="3">
        <v>16384</v>
      </c>
      <c r="M43" s="3">
        <v>17262</v>
      </c>
      <c r="N43" s="3">
        <v>17753</v>
      </c>
      <c r="O43" s="3">
        <v>18701</v>
      </c>
      <c r="P43" s="3">
        <v>19226</v>
      </c>
      <c r="Q43" s="3">
        <v>19919</v>
      </c>
      <c r="R43" s="3">
        <v>20762</v>
      </c>
      <c r="S43" s="3">
        <v>21612</v>
      </c>
      <c r="T43" s="3">
        <v>22502</v>
      </c>
      <c r="U43" s="3">
        <v>23740</v>
      </c>
      <c r="V43" s="3">
        <v>24583</v>
      </c>
      <c r="W43" s="3">
        <v>26151</v>
      </c>
      <c r="X43" s="3">
        <v>27186</v>
      </c>
      <c r="Y43" s="3">
        <v>28122</v>
      </c>
      <c r="Z43" s="3">
        <v>29172</v>
      </c>
      <c r="AA43" s="3">
        <v>30577</v>
      </c>
      <c r="AB43" s="3">
        <v>31533</v>
      </c>
      <c r="AC43" s="3">
        <v>33281</v>
      </c>
      <c r="AD43" s="3">
        <v>34603</v>
      </c>
      <c r="AE43" s="3">
        <v>35851</v>
      </c>
      <c r="AF43" s="3">
        <v>35520</v>
      </c>
      <c r="AG43" s="3">
        <v>36532</v>
      </c>
      <c r="AH43" s="3">
        <v>37964</v>
      </c>
      <c r="AI43" s="3">
        <v>39426</v>
      </c>
      <c r="AJ43" s="3">
        <v>39077</v>
      </c>
      <c r="AK43" s="3">
        <v>40671</v>
      </c>
      <c r="AL43" s="3">
        <v>42013</v>
      </c>
      <c r="AM43" s="3">
        <v>42910</v>
      </c>
      <c r="AN43" s="3">
        <v>44710</v>
      </c>
      <c r="AO43" s="3">
        <v>47002</v>
      </c>
      <c r="AP43" s="3">
        <v>48907</v>
      </c>
      <c r="AQ43" s="3">
        <v>52385</v>
      </c>
      <c r="AR43" s="3">
        <v>56543</v>
      </c>
    </row>
    <row r="44" spans="1:45" x14ac:dyDescent="0.3">
      <c r="A44" s="3" t="s">
        <v>155</v>
      </c>
      <c r="B44" s="3" t="s">
        <v>156</v>
      </c>
      <c r="C44" s="3">
        <v>22842</v>
      </c>
      <c r="D44" s="3">
        <v>23139</v>
      </c>
      <c r="E44" s="3">
        <v>23418</v>
      </c>
      <c r="F44" s="3">
        <v>24035</v>
      </c>
      <c r="G44" s="3">
        <v>25420</v>
      </c>
      <c r="H44" s="3">
        <v>25971</v>
      </c>
      <c r="I44" s="3">
        <v>26716</v>
      </c>
      <c r="J44" s="3">
        <v>26962</v>
      </c>
      <c r="K44" s="3">
        <v>28070</v>
      </c>
      <c r="L44" s="3">
        <v>28613</v>
      </c>
      <c r="M44" s="3">
        <v>28878</v>
      </c>
      <c r="N44" s="3">
        <v>28739</v>
      </c>
      <c r="O44" s="3">
        <v>29487</v>
      </c>
      <c r="P44" s="3">
        <v>29578</v>
      </c>
      <c r="Q44" s="3">
        <v>30019</v>
      </c>
      <c r="R44" s="3">
        <v>30644</v>
      </c>
      <c r="S44" s="3">
        <v>31230</v>
      </c>
      <c r="T44" s="3">
        <v>31960</v>
      </c>
      <c r="U44" s="3">
        <v>33452</v>
      </c>
      <c r="V44" s="3">
        <v>34142</v>
      </c>
      <c r="W44" s="3">
        <v>35424</v>
      </c>
      <c r="X44" s="3">
        <v>36102</v>
      </c>
      <c r="Y44" s="3">
        <v>36861</v>
      </c>
      <c r="Z44" s="3">
        <v>37451</v>
      </c>
      <c r="AA44" s="3">
        <v>38304</v>
      </c>
      <c r="AB44" s="3">
        <v>38396</v>
      </c>
      <c r="AC44" s="3">
        <v>39414</v>
      </c>
      <c r="AD44" s="3">
        <v>39954</v>
      </c>
      <c r="AE44" s="3">
        <v>40205</v>
      </c>
      <c r="AF44" s="3">
        <v>39946</v>
      </c>
      <c r="AG44" s="3">
        <v>40361</v>
      </c>
      <c r="AH44" s="3">
        <v>40908</v>
      </c>
      <c r="AI44" s="3">
        <v>41705</v>
      </c>
      <c r="AJ44" s="3">
        <v>40798</v>
      </c>
      <c r="AK44" s="3">
        <v>41876</v>
      </c>
      <c r="AL44" s="3">
        <v>43179</v>
      </c>
      <c r="AM44" s="3">
        <v>43659</v>
      </c>
      <c r="AN44" s="3">
        <v>44710</v>
      </c>
      <c r="AO44" s="3">
        <v>46059</v>
      </c>
      <c r="AP44" s="3">
        <v>47249</v>
      </c>
      <c r="AQ44" s="3">
        <v>50049</v>
      </c>
      <c r="AR44" s="3">
        <v>51888</v>
      </c>
      <c r="AS44" s="3"/>
    </row>
    <row r="45" spans="1:45" x14ac:dyDescent="0.3">
      <c r="A45" s="3" t="s">
        <v>157</v>
      </c>
      <c r="B45" s="3" t="s">
        <v>158</v>
      </c>
      <c r="C45" s="3">
        <v>227726</v>
      </c>
      <c r="D45" s="3">
        <v>230008</v>
      </c>
      <c r="E45" s="3">
        <v>232218</v>
      </c>
      <c r="F45" s="3">
        <v>234333</v>
      </c>
      <c r="G45" s="3">
        <v>236394</v>
      </c>
      <c r="H45" s="3">
        <v>238506</v>
      </c>
      <c r="I45" s="3">
        <v>240683</v>
      </c>
      <c r="J45" s="3">
        <v>242843</v>
      </c>
      <c r="K45" s="3">
        <v>245061</v>
      </c>
      <c r="L45" s="3">
        <v>247387</v>
      </c>
      <c r="M45" s="3">
        <v>250181</v>
      </c>
      <c r="N45" s="3">
        <v>253530</v>
      </c>
      <c r="O45" s="3">
        <v>256922</v>
      </c>
      <c r="P45" s="3">
        <v>260282</v>
      </c>
      <c r="Q45" s="3">
        <v>263455</v>
      </c>
      <c r="R45" s="3">
        <v>266588</v>
      </c>
      <c r="S45" s="3">
        <v>269714</v>
      </c>
      <c r="T45" s="3">
        <v>272958</v>
      </c>
      <c r="U45" s="3">
        <v>276154</v>
      </c>
      <c r="V45" s="3">
        <v>279328</v>
      </c>
      <c r="W45" s="3">
        <v>282398</v>
      </c>
      <c r="X45" s="3">
        <v>285225</v>
      </c>
      <c r="Y45" s="3">
        <v>287955</v>
      </c>
      <c r="Z45" s="3">
        <v>290626</v>
      </c>
      <c r="AA45" s="3">
        <v>293262</v>
      </c>
      <c r="AB45" s="3">
        <v>295993</v>
      </c>
      <c r="AC45" s="3">
        <v>298818</v>
      </c>
      <c r="AD45" s="3">
        <v>301696</v>
      </c>
      <c r="AE45" s="3">
        <v>304543</v>
      </c>
      <c r="AF45" s="3">
        <v>307240</v>
      </c>
      <c r="AG45" s="3">
        <v>309839</v>
      </c>
      <c r="AH45" s="3">
        <v>312295</v>
      </c>
      <c r="AI45" s="3">
        <v>314725</v>
      </c>
      <c r="AJ45" s="3">
        <v>317099</v>
      </c>
      <c r="AK45" s="3">
        <v>319601</v>
      </c>
      <c r="AL45" s="3">
        <v>322113</v>
      </c>
      <c r="AM45" s="3">
        <v>324609</v>
      </c>
      <c r="AN45" s="3">
        <v>326860</v>
      </c>
      <c r="AO45" s="3">
        <v>328794</v>
      </c>
      <c r="AP45" s="3">
        <v>330513</v>
      </c>
      <c r="AQ45" s="3">
        <v>331840</v>
      </c>
      <c r="AR45" s="3">
        <v>332505</v>
      </c>
      <c r="AS45" s="3"/>
    </row>
    <row r="46" spans="1:45" x14ac:dyDescent="0.3">
      <c r="A46" s="3" t="s">
        <v>7</v>
      </c>
      <c r="B46" s="3" t="s">
        <v>159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3" t="s">
        <v>7</v>
      </c>
      <c r="I46" s="3" t="s">
        <v>7</v>
      </c>
      <c r="J46" s="3" t="s">
        <v>7</v>
      </c>
      <c r="K46" s="3" t="s">
        <v>7</v>
      </c>
      <c r="L46" s="3" t="s">
        <v>7</v>
      </c>
      <c r="M46" s="3" t="s">
        <v>7</v>
      </c>
      <c r="N46" s="3" t="s">
        <v>7</v>
      </c>
      <c r="O46" s="3" t="s">
        <v>7</v>
      </c>
      <c r="P46" s="3" t="s">
        <v>7</v>
      </c>
      <c r="Q46" s="3" t="s">
        <v>7</v>
      </c>
      <c r="R46" s="3" t="s">
        <v>7</v>
      </c>
      <c r="S46" s="3" t="s">
        <v>7</v>
      </c>
      <c r="T46" s="3" t="s">
        <v>7</v>
      </c>
      <c r="U46" s="3" t="s">
        <v>7</v>
      </c>
      <c r="V46" s="3" t="s">
        <v>7</v>
      </c>
      <c r="W46" s="3" t="s">
        <v>7</v>
      </c>
      <c r="X46" s="3" t="s">
        <v>7</v>
      </c>
      <c r="Y46" s="3" t="s">
        <v>7</v>
      </c>
      <c r="Z46" s="3" t="s">
        <v>7</v>
      </c>
      <c r="AA46" s="3" t="s">
        <v>7</v>
      </c>
      <c r="AB46" s="3" t="s">
        <v>7</v>
      </c>
      <c r="AC46" s="3" t="s">
        <v>7</v>
      </c>
      <c r="AD46" s="3" t="s">
        <v>7</v>
      </c>
      <c r="AE46" s="3" t="s">
        <v>7</v>
      </c>
      <c r="AF46" s="3" t="s">
        <v>7</v>
      </c>
      <c r="AG46" s="3" t="s">
        <v>7</v>
      </c>
      <c r="AH46" s="3" t="s">
        <v>7</v>
      </c>
      <c r="AI46" s="3" t="s">
        <v>7</v>
      </c>
      <c r="AJ46" s="3" t="s">
        <v>7</v>
      </c>
      <c r="AK46" s="3" t="s">
        <v>7</v>
      </c>
      <c r="AL46" s="3" t="s">
        <v>7</v>
      </c>
      <c r="AM46" s="3" t="s">
        <v>7</v>
      </c>
      <c r="AN46" s="3" t="s">
        <v>7</v>
      </c>
      <c r="AO46" s="3" t="s">
        <v>7</v>
      </c>
      <c r="AP46" s="3" t="s">
        <v>7</v>
      </c>
      <c r="AQ46" s="3" t="s">
        <v>7</v>
      </c>
      <c r="AR46" s="3" t="s">
        <v>7</v>
      </c>
      <c r="AS46" s="3"/>
    </row>
    <row r="47" spans="1:45" x14ac:dyDescent="0.3">
      <c r="A47" s="3" t="s">
        <v>160</v>
      </c>
      <c r="B47" s="5" t="s">
        <v>161</v>
      </c>
      <c r="C47" s="5">
        <v>11.6</v>
      </c>
      <c r="D47" s="5">
        <v>11.5</v>
      </c>
      <c r="E47" s="5">
        <v>7.9</v>
      </c>
      <c r="F47" s="5">
        <v>8</v>
      </c>
      <c r="G47" s="5">
        <v>10.7</v>
      </c>
      <c r="H47" s="5">
        <v>6.7</v>
      </c>
      <c r="I47" s="5">
        <v>6.1</v>
      </c>
      <c r="J47" s="5">
        <v>5</v>
      </c>
      <c r="K47" s="5">
        <v>9.1999999999999993</v>
      </c>
      <c r="L47" s="5">
        <v>7.4</v>
      </c>
      <c r="M47" s="5">
        <v>6.5</v>
      </c>
      <c r="N47" s="5">
        <v>4.2</v>
      </c>
      <c r="O47" s="5">
        <v>6.7</v>
      </c>
      <c r="P47" s="5">
        <v>4.2</v>
      </c>
      <c r="Q47" s="5">
        <v>4.9000000000000004</v>
      </c>
      <c r="R47" s="5">
        <v>5.5</v>
      </c>
      <c r="S47" s="5">
        <v>5.3</v>
      </c>
      <c r="T47" s="5">
        <v>5.4</v>
      </c>
      <c r="U47" s="5">
        <v>6.7</v>
      </c>
      <c r="V47" s="5">
        <v>4.7</v>
      </c>
      <c r="W47" s="5">
        <v>7.5</v>
      </c>
      <c r="X47" s="5">
        <v>5</v>
      </c>
      <c r="Y47" s="5">
        <v>4.4000000000000004</v>
      </c>
      <c r="Z47" s="5">
        <v>4.7</v>
      </c>
      <c r="AA47" s="5">
        <v>5.8</v>
      </c>
      <c r="AB47" s="5">
        <v>4.0999999999999996</v>
      </c>
      <c r="AC47" s="5">
        <v>6.6</v>
      </c>
      <c r="AD47" s="5">
        <v>5</v>
      </c>
      <c r="AE47" s="5">
        <v>4.5999999999999996</v>
      </c>
      <c r="AF47" s="5">
        <v>0</v>
      </c>
      <c r="AG47" s="5">
        <v>3.7</v>
      </c>
      <c r="AH47" s="5">
        <v>4.7</v>
      </c>
      <c r="AI47" s="5">
        <v>4.7</v>
      </c>
      <c r="AJ47" s="5">
        <v>-0.1</v>
      </c>
      <c r="AK47" s="5">
        <v>4.9000000000000004</v>
      </c>
      <c r="AL47" s="5">
        <v>4.0999999999999996</v>
      </c>
      <c r="AM47" s="5">
        <v>2.9</v>
      </c>
      <c r="AN47" s="5">
        <v>4.9000000000000004</v>
      </c>
      <c r="AO47" s="5">
        <v>5.7</v>
      </c>
      <c r="AP47" s="5">
        <v>4.5999999999999996</v>
      </c>
      <c r="AQ47" s="5">
        <v>7.5</v>
      </c>
      <c r="AR47" s="5">
        <v>8.1999999999999993</v>
      </c>
      <c r="AS47" s="3"/>
    </row>
    <row r="48" spans="1:45" x14ac:dyDescent="0.3">
      <c r="A48" s="3" t="s">
        <v>162</v>
      </c>
      <c r="B48" s="5" t="s">
        <v>163</v>
      </c>
      <c r="C48" s="5">
        <v>10.6</v>
      </c>
      <c r="D48" s="5">
        <v>10.8</v>
      </c>
      <c r="E48" s="5">
        <v>7.5</v>
      </c>
      <c r="F48" s="5">
        <v>10.3</v>
      </c>
      <c r="G48" s="5">
        <v>9.3000000000000007</v>
      </c>
      <c r="H48" s="5">
        <v>9.1999999999999993</v>
      </c>
      <c r="I48" s="5">
        <v>6.5</v>
      </c>
      <c r="J48" s="5">
        <v>6.4</v>
      </c>
      <c r="K48" s="5">
        <v>8.1</v>
      </c>
      <c r="L48" s="5">
        <v>7.5</v>
      </c>
      <c r="M48" s="5">
        <v>6.5</v>
      </c>
      <c r="N48" s="5">
        <v>3.6</v>
      </c>
      <c r="O48" s="5">
        <v>6.2</v>
      </c>
      <c r="P48" s="5">
        <v>5.9</v>
      </c>
      <c r="Q48" s="5">
        <v>6.1</v>
      </c>
      <c r="R48" s="5">
        <v>5.4</v>
      </c>
      <c r="S48" s="5">
        <v>5.9</v>
      </c>
      <c r="T48" s="5">
        <v>5.7</v>
      </c>
      <c r="U48" s="5">
        <v>6.3</v>
      </c>
      <c r="V48" s="5">
        <v>6.8</v>
      </c>
      <c r="W48" s="5">
        <v>7.9</v>
      </c>
      <c r="X48" s="5">
        <v>4.5999999999999996</v>
      </c>
      <c r="Y48" s="5">
        <v>3.5</v>
      </c>
      <c r="Z48" s="5">
        <v>5.0999999999999996</v>
      </c>
      <c r="AA48" s="5">
        <v>6.4</v>
      </c>
      <c r="AB48" s="5">
        <v>6.7</v>
      </c>
      <c r="AC48" s="5">
        <v>6</v>
      </c>
      <c r="AD48" s="5">
        <v>5.2</v>
      </c>
      <c r="AE48" s="5">
        <v>2.9</v>
      </c>
      <c r="AF48" s="5">
        <v>-1.7</v>
      </c>
      <c r="AG48" s="5">
        <v>3.5</v>
      </c>
      <c r="AH48" s="5">
        <v>4.0999999999999996</v>
      </c>
      <c r="AI48" s="5">
        <v>3.2</v>
      </c>
      <c r="AJ48" s="5">
        <v>3</v>
      </c>
      <c r="AK48" s="5">
        <v>4.3</v>
      </c>
      <c r="AL48" s="5">
        <v>3.7</v>
      </c>
      <c r="AM48" s="5">
        <v>3.5</v>
      </c>
      <c r="AN48" s="5">
        <v>4.5</v>
      </c>
      <c r="AO48" s="5">
        <v>5</v>
      </c>
      <c r="AP48" s="5">
        <v>3.7</v>
      </c>
      <c r="AQ48" s="5">
        <v>-1.8</v>
      </c>
      <c r="AR48" s="5">
        <v>12.9</v>
      </c>
      <c r="AS48" s="3"/>
    </row>
    <row r="49" spans="1:45" x14ac:dyDescent="0.3">
      <c r="A49" s="3" t="s">
        <v>164</v>
      </c>
      <c r="B49" s="5" t="s">
        <v>165</v>
      </c>
      <c r="C49" s="5">
        <v>0.8</v>
      </c>
      <c r="D49" s="5">
        <v>2.2999999999999998</v>
      </c>
      <c r="E49" s="5">
        <v>2.2000000000000002</v>
      </c>
      <c r="F49" s="5">
        <v>3.6</v>
      </c>
      <c r="G49" s="5">
        <v>6.7</v>
      </c>
      <c r="H49" s="5">
        <v>3.1</v>
      </c>
      <c r="I49" s="5">
        <v>3.8</v>
      </c>
      <c r="J49" s="5">
        <v>1.8</v>
      </c>
      <c r="K49" s="5">
        <v>5.0999999999999996</v>
      </c>
      <c r="L49" s="5">
        <v>2.9</v>
      </c>
      <c r="M49" s="5">
        <v>2.1</v>
      </c>
      <c r="N49" s="5">
        <v>0.9</v>
      </c>
      <c r="O49" s="5">
        <v>4</v>
      </c>
      <c r="P49" s="5">
        <v>1.6</v>
      </c>
      <c r="Q49" s="5">
        <v>2.7</v>
      </c>
      <c r="R49" s="5">
        <v>3.3</v>
      </c>
      <c r="S49" s="5">
        <v>3.1</v>
      </c>
      <c r="T49" s="5">
        <v>3.6</v>
      </c>
      <c r="U49" s="5">
        <v>5.9</v>
      </c>
      <c r="V49" s="5">
        <v>3.2</v>
      </c>
      <c r="W49" s="5">
        <v>4.9000000000000004</v>
      </c>
      <c r="X49" s="5">
        <v>2.9</v>
      </c>
      <c r="Y49" s="5">
        <v>3.1</v>
      </c>
      <c r="Z49" s="5">
        <v>2.5</v>
      </c>
      <c r="AA49" s="5">
        <v>3.2</v>
      </c>
      <c r="AB49" s="5">
        <v>1.2</v>
      </c>
      <c r="AC49" s="5">
        <v>3.6</v>
      </c>
      <c r="AD49" s="5">
        <v>2.2999999999999998</v>
      </c>
      <c r="AE49" s="5">
        <v>1.6</v>
      </c>
      <c r="AF49" s="5">
        <v>0.2</v>
      </c>
      <c r="AG49" s="5">
        <v>1.9</v>
      </c>
      <c r="AH49" s="5">
        <v>2.2000000000000002</v>
      </c>
      <c r="AI49" s="5">
        <v>2.7</v>
      </c>
      <c r="AJ49" s="5">
        <v>-1.4</v>
      </c>
      <c r="AK49" s="5">
        <v>3.5</v>
      </c>
      <c r="AL49" s="5">
        <v>3.9</v>
      </c>
      <c r="AM49" s="5">
        <v>1.9</v>
      </c>
      <c r="AN49" s="5">
        <v>3.1</v>
      </c>
      <c r="AO49" s="5">
        <v>3.6</v>
      </c>
      <c r="AP49" s="5">
        <v>3.1</v>
      </c>
      <c r="AQ49" s="5">
        <v>6.4</v>
      </c>
      <c r="AR49" s="5">
        <v>3.9</v>
      </c>
      <c r="AS49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7B7E-5B01-40E1-B052-B3068FA4FFF9}">
  <dimension ref="A1:B43"/>
  <sheetViews>
    <sheetView workbookViewId="0">
      <selection activeCell="E27" sqref="E27"/>
    </sheetView>
  </sheetViews>
  <sheetFormatPr defaultRowHeight="14.4" x14ac:dyDescent="0.3"/>
  <cols>
    <col min="1" max="1" width="35.88671875" customWidth="1"/>
    <col min="2" max="2" width="24.88671875" customWidth="1"/>
  </cols>
  <sheetData>
    <row r="1" spans="1:2" x14ac:dyDescent="0.3">
      <c r="A1" s="7" t="s">
        <v>101</v>
      </c>
      <c r="B1" s="7" t="s">
        <v>102</v>
      </c>
    </row>
    <row r="2" spans="1:2" x14ac:dyDescent="0.3">
      <c r="A2" s="8">
        <v>29221</v>
      </c>
      <c r="B2" s="6">
        <v>86.1</v>
      </c>
    </row>
    <row r="3" spans="1:2" x14ac:dyDescent="0.3">
      <c r="A3" s="8">
        <v>29587</v>
      </c>
      <c r="B3" s="6">
        <v>91.4</v>
      </c>
    </row>
    <row r="4" spans="1:2" x14ac:dyDescent="0.3">
      <c r="A4" s="8">
        <v>29952</v>
      </c>
      <c r="B4" s="6">
        <v>116.5</v>
      </c>
    </row>
    <row r="5" spans="1:2" x14ac:dyDescent="0.3">
      <c r="A5" s="8">
        <v>30317</v>
      </c>
      <c r="B5" s="6">
        <v>115.2</v>
      </c>
    </row>
    <row r="6" spans="1:2" x14ac:dyDescent="0.3">
      <c r="A6" s="8">
        <v>30682</v>
      </c>
      <c r="B6" s="6">
        <v>90.1</v>
      </c>
    </row>
    <row r="7" spans="1:2" x14ac:dyDescent="0.3">
      <c r="A7" s="8">
        <v>31048</v>
      </c>
      <c r="B7" s="6">
        <v>86.3</v>
      </c>
    </row>
    <row r="8" spans="1:2" x14ac:dyDescent="0.3">
      <c r="A8" s="8">
        <v>31413</v>
      </c>
      <c r="B8" s="6">
        <v>84</v>
      </c>
    </row>
    <row r="9" spans="1:2" x14ac:dyDescent="0.3">
      <c r="A9" s="8">
        <v>31778</v>
      </c>
      <c r="B9" s="6">
        <v>74.099999999999994</v>
      </c>
    </row>
    <row r="10" spans="1:2" x14ac:dyDescent="0.3">
      <c r="A10" s="8">
        <v>32143</v>
      </c>
      <c r="B10" s="6">
        <v>65.900000000000006</v>
      </c>
    </row>
    <row r="11" spans="1:2" x14ac:dyDescent="0.3">
      <c r="A11" s="8">
        <v>32509</v>
      </c>
      <c r="B11" s="6">
        <v>63.1</v>
      </c>
    </row>
    <row r="12" spans="1:2" x14ac:dyDescent="0.3">
      <c r="A12" s="8">
        <v>32874</v>
      </c>
      <c r="B12" s="6">
        <v>67.400000000000006</v>
      </c>
    </row>
    <row r="13" spans="1:2" x14ac:dyDescent="0.3">
      <c r="A13" s="8">
        <v>33239</v>
      </c>
      <c r="B13" s="6">
        <v>82.2</v>
      </c>
    </row>
    <row r="14" spans="1:2" x14ac:dyDescent="0.3">
      <c r="A14" s="8">
        <v>33604</v>
      </c>
      <c r="B14" s="6">
        <v>89.9</v>
      </c>
    </row>
    <row r="15" spans="1:2" x14ac:dyDescent="0.3">
      <c r="A15" s="8">
        <v>33970</v>
      </c>
      <c r="B15" s="6">
        <v>82.9</v>
      </c>
    </row>
    <row r="16" spans="1:2" x14ac:dyDescent="0.3">
      <c r="A16" s="8">
        <v>34335</v>
      </c>
      <c r="B16" s="6">
        <v>73.2</v>
      </c>
    </row>
    <row r="17" spans="1:2" x14ac:dyDescent="0.3">
      <c r="A17" s="8">
        <v>34700</v>
      </c>
      <c r="B17" s="6">
        <v>67.099999999999994</v>
      </c>
    </row>
    <row r="18" spans="1:2" x14ac:dyDescent="0.3">
      <c r="A18" s="8">
        <v>35065</v>
      </c>
      <c r="B18" s="6">
        <v>64.900000000000006</v>
      </c>
    </row>
    <row r="19" spans="1:2" x14ac:dyDescent="0.3">
      <c r="A19" s="8">
        <v>35431</v>
      </c>
      <c r="B19" s="6">
        <v>59.3</v>
      </c>
    </row>
    <row r="20" spans="1:2" x14ac:dyDescent="0.3">
      <c r="A20" s="8">
        <v>35796</v>
      </c>
      <c r="B20" s="6">
        <v>54</v>
      </c>
    </row>
    <row r="21" spans="1:2" x14ac:dyDescent="0.3">
      <c r="A21" s="8">
        <v>36161</v>
      </c>
      <c r="B21" s="6">
        <v>50.6</v>
      </c>
    </row>
    <row r="22" spans="1:2" x14ac:dyDescent="0.3">
      <c r="A22" s="8">
        <v>36526</v>
      </c>
      <c r="B22" s="6">
        <v>47.6</v>
      </c>
    </row>
    <row r="23" spans="1:2" x14ac:dyDescent="0.3">
      <c r="A23" s="8">
        <v>36892</v>
      </c>
      <c r="B23" s="6">
        <v>56.9</v>
      </c>
    </row>
    <row r="24" spans="1:2" x14ac:dyDescent="0.3">
      <c r="A24" s="8">
        <v>37257</v>
      </c>
      <c r="B24" s="6">
        <v>69.400000000000006</v>
      </c>
    </row>
    <row r="25" spans="1:2" x14ac:dyDescent="0.3">
      <c r="A25" s="8">
        <v>37622</v>
      </c>
      <c r="B25" s="6">
        <v>71.900000000000006</v>
      </c>
    </row>
    <row r="26" spans="1:2" x14ac:dyDescent="0.3">
      <c r="A26" s="8">
        <v>37987</v>
      </c>
      <c r="B26" s="6">
        <v>66.5</v>
      </c>
    </row>
    <row r="27" spans="1:2" x14ac:dyDescent="0.3">
      <c r="A27" s="8">
        <v>38353</v>
      </c>
      <c r="B27" s="6">
        <v>61</v>
      </c>
    </row>
    <row r="28" spans="1:2" x14ac:dyDescent="0.3">
      <c r="A28" s="8">
        <v>38718</v>
      </c>
      <c r="B28" s="6">
        <v>55.3</v>
      </c>
    </row>
    <row r="29" spans="1:2" x14ac:dyDescent="0.3">
      <c r="A29" s="8">
        <v>39083</v>
      </c>
      <c r="B29" s="6">
        <v>55.4</v>
      </c>
    </row>
    <row r="30" spans="1:2" x14ac:dyDescent="0.3">
      <c r="A30" s="8">
        <v>39448</v>
      </c>
      <c r="B30" s="6">
        <v>69.599999999999994</v>
      </c>
    </row>
    <row r="31" spans="1:2" x14ac:dyDescent="0.3">
      <c r="A31" s="8">
        <v>39814</v>
      </c>
      <c r="B31" s="6">
        <v>111.4</v>
      </c>
    </row>
    <row r="32" spans="1:2" x14ac:dyDescent="0.3">
      <c r="A32" s="8">
        <v>40179</v>
      </c>
      <c r="B32" s="6">
        <v>115.3</v>
      </c>
    </row>
    <row r="33" spans="1:2" x14ac:dyDescent="0.3">
      <c r="A33" s="8">
        <v>40544</v>
      </c>
      <c r="B33" s="6">
        <v>107.2</v>
      </c>
    </row>
    <row r="34" spans="1:2" x14ac:dyDescent="0.3">
      <c r="A34" s="8">
        <v>40909</v>
      </c>
      <c r="B34" s="6">
        <v>96.9</v>
      </c>
    </row>
    <row r="35" spans="1:2" x14ac:dyDescent="0.3">
      <c r="A35" s="8">
        <v>41275</v>
      </c>
      <c r="B35" s="6">
        <v>88.3</v>
      </c>
    </row>
    <row r="36" spans="1:2" x14ac:dyDescent="0.3">
      <c r="A36" s="8">
        <v>41640</v>
      </c>
      <c r="B36" s="6">
        <v>73.900000000000006</v>
      </c>
    </row>
    <row r="37" spans="1:2" x14ac:dyDescent="0.3">
      <c r="A37" s="8">
        <v>42005</v>
      </c>
      <c r="B37" s="6">
        <v>63.3</v>
      </c>
    </row>
    <row r="38" spans="1:2" x14ac:dyDescent="0.3">
      <c r="A38" s="8">
        <v>42370</v>
      </c>
      <c r="B38" s="6">
        <v>58.5</v>
      </c>
    </row>
    <row r="39" spans="1:2" x14ac:dyDescent="0.3">
      <c r="A39" s="8">
        <v>42736</v>
      </c>
      <c r="B39" s="6">
        <v>52.3</v>
      </c>
    </row>
    <row r="40" spans="1:2" x14ac:dyDescent="0.3">
      <c r="A40" s="8">
        <v>43101</v>
      </c>
      <c r="B40" s="6">
        <v>46.7</v>
      </c>
    </row>
    <row r="41" spans="1:2" x14ac:dyDescent="0.3">
      <c r="A41" s="8">
        <v>43466</v>
      </c>
      <c r="B41" s="6">
        <v>44.1</v>
      </c>
    </row>
    <row r="42" spans="1:2" x14ac:dyDescent="0.3">
      <c r="A42" s="8">
        <v>43831</v>
      </c>
      <c r="B42" s="6">
        <v>97.2</v>
      </c>
    </row>
    <row r="43" spans="1:2" x14ac:dyDescent="0.3">
      <c r="A43" s="8">
        <v>44197</v>
      </c>
      <c r="B43" s="6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Final Summary </vt:lpstr>
      <vt:lpstr>Master Dataset</vt:lpstr>
      <vt:lpstr>Analysis</vt:lpstr>
      <vt:lpstr>Result 1</vt:lpstr>
      <vt:lpstr>Result 2</vt:lpstr>
      <vt:lpstr>Result 3</vt:lpstr>
      <vt:lpstr>Training Data</vt:lpstr>
      <vt:lpstr>Testing Data</vt:lpstr>
      <vt:lpstr>Visualization</vt:lpstr>
      <vt:lpstr>Raw_Imigration data</vt:lpstr>
      <vt:lpstr>Raw_Gross Domestic Product </vt:lpstr>
      <vt:lpstr>Raw_Personal Income and Its Dis</vt:lpstr>
      <vt:lpstr>Raw_Unemployment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Bhilare</dc:creator>
  <cp:lastModifiedBy>Aryan Bhilare</cp:lastModifiedBy>
  <cp:lastPrinted>2025-12-04T23:51:33Z</cp:lastPrinted>
  <dcterms:created xsi:type="dcterms:W3CDTF">2025-12-01T02:00:15Z</dcterms:created>
  <dcterms:modified xsi:type="dcterms:W3CDTF">2025-12-10T03:20:05Z</dcterms:modified>
</cp:coreProperties>
</file>